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al\Downloads\"/>
    </mc:Choice>
  </mc:AlternateContent>
  <xr:revisionPtr revIDLastSave="0" documentId="13_ncr:1_{ED416EE9-0B83-447D-91DC-3565CE4335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K3" i="1"/>
</calcChain>
</file>

<file path=xl/sharedStrings.xml><?xml version="1.0" encoding="utf-8"?>
<sst xmlns="http://schemas.openxmlformats.org/spreadsheetml/2006/main" count="1008" uniqueCount="510">
  <si>
    <t>Company</t>
  </si>
  <si>
    <t>Model</t>
  </si>
  <si>
    <t>MSE</t>
  </si>
  <si>
    <t>MAE</t>
  </si>
  <si>
    <t>R2</t>
  </si>
  <si>
    <t>MAPE</t>
  </si>
  <si>
    <t>Final_Score</t>
  </si>
  <si>
    <t>ABRA.TA</t>
  </si>
  <si>
    <t>LSTM</t>
  </si>
  <si>
    <t>ACCL.TA</t>
  </si>
  <si>
    <t>GRU</t>
  </si>
  <si>
    <t>ACKR.TA</t>
  </si>
  <si>
    <t>ACRO.TA</t>
  </si>
  <si>
    <t>ADGR.TA</t>
  </si>
  <si>
    <t>AFHL.TA</t>
  </si>
  <si>
    <t>AFPR.TA</t>
  </si>
  <si>
    <t>AFRE.TA</t>
  </si>
  <si>
    <t>AICS-M.TA</t>
  </si>
  <si>
    <t>XGBoost</t>
  </si>
  <si>
    <t>AILN.TA</t>
  </si>
  <si>
    <t>ALAR.TA</t>
  </si>
  <si>
    <t>ALBA.TA</t>
  </si>
  <si>
    <t>ALHE.TA</t>
  </si>
  <si>
    <t>ALLT.TA</t>
  </si>
  <si>
    <t>ALMA.TA</t>
  </si>
  <si>
    <t>ALMD.TA</t>
  </si>
  <si>
    <t>LightGBM</t>
  </si>
  <si>
    <t>ALMY.TA</t>
  </si>
  <si>
    <t>ALRPR.TA</t>
  </si>
  <si>
    <t>ALUMA.TA</t>
  </si>
  <si>
    <t>AMAN.TA</t>
  </si>
  <si>
    <t>AMD.TA</t>
  </si>
  <si>
    <t>AMDA.TA</t>
  </si>
  <si>
    <t>AMOT.TA</t>
  </si>
  <si>
    <t>AMRK.TA</t>
  </si>
  <si>
    <t>AMX.TA</t>
  </si>
  <si>
    <t>ANGL.TA</t>
  </si>
  <si>
    <t>APLP.TA</t>
  </si>
  <si>
    <t>AQUA.TA</t>
  </si>
  <si>
    <t>ARAD.TA</t>
  </si>
  <si>
    <t>ARAN.TA</t>
  </si>
  <si>
    <t>ARD.TA</t>
  </si>
  <si>
    <t>ARDM.TA</t>
  </si>
  <si>
    <t>ARF.TA</t>
  </si>
  <si>
    <t>ARGO.TA</t>
  </si>
  <si>
    <t>ARIN.TA</t>
  </si>
  <si>
    <t>ARPT.TA</t>
  </si>
  <si>
    <t>ARTS.TA</t>
  </si>
  <si>
    <t>ARYT.TA</t>
  </si>
  <si>
    <t>ASGR.TA</t>
  </si>
  <si>
    <t>ASHG.TA</t>
  </si>
  <si>
    <t>ASHO.TA</t>
  </si>
  <si>
    <t>AUDC.TA</t>
  </si>
  <si>
    <t>AUGN.TA</t>
  </si>
  <si>
    <t>AUIS.TA</t>
  </si>
  <si>
    <t>AURA.TA</t>
  </si>
  <si>
    <t>AUSA-M.TA</t>
  </si>
  <si>
    <t>AVER.TA</t>
  </si>
  <si>
    <t>AVGD.TA</t>
  </si>
  <si>
    <t>AVGL.TA</t>
  </si>
  <si>
    <t>AVIA.TA</t>
  </si>
  <si>
    <t>AVIV.TA</t>
  </si>
  <si>
    <t>AVRT.TA</t>
  </si>
  <si>
    <t>AYAL.TA</t>
  </si>
  <si>
    <t>AZRG.TA</t>
  </si>
  <si>
    <t>AZRM.TA</t>
  </si>
  <si>
    <t>AZRT.TA</t>
  </si>
  <si>
    <t>BBLS.TA</t>
  </si>
  <si>
    <t>BCNV-M.TA</t>
  </si>
  <si>
    <t>BCOM.TA</t>
  </si>
  <si>
    <t>BCUR.TA</t>
  </si>
  <si>
    <t>BEZQ.TA</t>
  </si>
  <si>
    <t>BHNY.TA</t>
  </si>
  <si>
    <t>BIG.TA</t>
  </si>
  <si>
    <t>BIGT.TA</t>
  </si>
  <si>
    <t>BIMT.TA</t>
  </si>
  <si>
    <t>BIOV.TA</t>
  </si>
  <si>
    <t>BIRM.TA</t>
  </si>
  <si>
    <t>BKFR.TA</t>
  </si>
  <si>
    <t>BKRY.TA</t>
  </si>
  <si>
    <t>BLGO.TA</t>
  </si>
  <si>
    <t>BLITZ-M.TA</t>
  </si>
  <si>
    <t>BLRN.TA</t>
  </si>
  <si>
    <t>BLRX.TA</t>
  </si>
  <si>
    <t>BLSR.TA</t>
  </si>
  <si>
    <t>BOLT.TA</t>
  </si>
  <si>
    <t>BONS.TA</t>
  </si>
  <si>
    <t>BOTI.TA</t>
  </si>
  <si>
    <t>BRAM.TA</t>
  </si>
  <si>
    <t>BRAN.TA</t>
  </si>
  <si>
    <t>BRIH.TA</t>
  </si>
  <si>
    <t>BRIL.TA</t>
  </si>
  <si>
    <t>BRKT.TA</t>
  </si>
  <si>
    <t>BRMG.TA</t>
  </si>
  <si>
    <t>BRND.TA</t>
  </si>
  <si>
    <t>BSEN.TA</t>
  </si>
  <si>
    <t>BULL-M.TA</t>
  </si>
  <si>
    <t>BVC.TA</t>
  </si>
  <si>
    <t>BVGG.TA</t>
  </si>
  <si>
    <t>BWAY.TA</t>
  </si>
  <si>
    <t>CAMT.TA</t>
  </si>
  <si>
    <t>CANF.TA</t>
  </si>
  <si>
    <t>CAST.TA</t>
  </si>
  <si>
    <t>CBI.TA</t>
  </si>
  <si>
    <t>CDEV.TA</t>
  </si>
  <si>
    <t>CEL.TA</t>
  </si>
  <si>
    <t>CFX.TA</t>
  </si>
  <si>
    <t>CGEN.TA</t>
  </si>
  <si>
    <t>CILO.TA</t>
  </si>
  <si>
    <t>CION.TA</t>
  </si>
  <si>
    <t>CISY.TA</t>
  </si>
  <si>
    <t>CLAB.TA</t>
  </si>
  <si>
    <t>CLIS.TA</t>
  </si>
  <si>
    <t>CMCT.TA</t>
  </si>
  <si>
    <t>CMDR.TA</t>
  </si>
  <si>
    <t>CMER.TA</t>
  </si>
  <si>
    <t>CNGL.TA</t>
  </si>
  <si>
    <t>CNTC.TA</t>
  </si>
  <si>
    <t>CNTL-M.TA</t>
  </si>
  <si>
    <t>CNZN.TA</t>
  </si>
  <si>
    <t>CPIA.TA</t>
  </si>
  <si>
    <t>CPTP.TA</t>
  </si>
  <si>
    <t>CRML.TA</t>
  </si>
  <si>
    <t>CRMT.TA</t>
  </si>
  <si>
    <t>CRSM.TA</t>
  </si>
  <si>
    <t>CRSR.TA</t>
  </si>
  <si>
    <t>CTPL1.TA</t>
  </si>
  <si>
    <t>CTPL5.TA</t>
  </si>
  <si>
    <t>DANE.TA</t>
  </si>
  <si>
    <t>DANH.TA</t>
  </si>
  <si>
    <t>DELG.TA</t>
  </si>
  <si>
    <t>DIFI.TA</t>
  </si>
  <si>
    <t>DIMRI.TA</t>
  </si>
  <si>
    <t>DIPL.TA</t>
  </si>
  <si>
    <t>DISI.TA</t>
  </si>
  <si>
    <t>DLEA.TA</t>
  </si>
  <si>
    <t>DLEKG.TA</t>
  </si>
  <si>
    <t>DLTI.TA</t>
  </si>
  <si>
    <t>DNA.TA</t>
  </si>
  <si>
    <t>DNYA.TA</t>
  </si>
  <si>
    <t>DORL.TA</t>
  </si>
  <si>
    <t>DRAL.TA</t>
  </si>
  <si>
    <t>DRSH.TA</t>
  </si>
  <si>
    <t>DSCT.TA</t>
  </si>
  <si>
    <t>DUNI.TA</t>
  </si>
  <si>
    <t>ECNR.TA</t>
  </si>
  <si>
    <t>ECP.TA</t>
  </si>
  <si>
    <t>ECPA-M.TA</t>
  </si>
  <si>
    <t>EFCP.TA</t>
  </si>
  <si>
    <t>ELAL.TA</t>
  </si>
  <si>
    <t>ELCO.TA</t>
  </si>
  <si>
    <t>ELCP.TA</t>
  </si>
  <si>
    <t>ELCRE.TA</t>
  </si>
  <si>
    <t>ELDAV-M.TA</t>
  </si>
  <si>
    <t>ELLO.TA</t>
  </si>
  <si>
    <t>ELMR.TA</t>
  </si>
  <si>
    <t>ELRN.TA</t>
  </si>
  <si>
    <t>ELSPC.TA</t>
  </si>
  <si>
    <t>ELTR.TA</t>
  </si>
  <si>
    <t>ELWS.TA</t>
  </si>
  <si>
    <t>EMCO.TA</t>
  </si>
  <si>
    <t>EMDV.TA</t>
  </si>
  <si>
    <t>EMITF-M.TA</t>
  </si>
  <si>
    <t>EMTC-M.TA</t>
  </si>
  <si>
    <t>ENDY.TA</t>
  </si>
  <si>
    <t>ENLT.TA</t>
  </si>
  <si>
    <t>ENLV.TA</t>
  </si>
  <si>
    <t>ENOG.TA</t>
  </si>
  <si>
    <t>ENRG.TA</t>
  </si>
  <si>
    <t>EPIT.TA</t>
  </si>
  <si>
    <t>EQTL.TA</t>
  </si>
  <si>
    <t>ESLT.TA</t>
  </si>
  <si>
    <t>ETGA.TA</t>
  </si>
  <si>
    <t>EVGN.TA</t>
  </si>
  <si>
    <t>EXPO.TA</t>
  </si>
  <si>
    <t>FBRT.TA</t>
  </si>
  <si>
    <t>FEAT.TA</t>
  </si>
  <si>
    <t>FGAS.TA</t>
  </si>
  <si>
    <t>FIBI.TA</t>
  </si>
  <si>
    <t>FIBIH.TA</t>
  </si>
  <si>
    <t>FLYS.TA</t>
  </si>
  <si>
    <t>FORTY.TA</t>
  </si>
  <si>
    <t>FOX.TA</t>
  </si>
  <si>
    <t>FRDN.TA</t>
  </si>
  <si>
    <t>FRSX.TA</t>
  </si>
  <si>
    <t>FTAL.TA</t>
  </si>
  <si>
    <t>G107.TA</t>
  </si>
  <si>
    <t>GAGR.TA</t>
  </si>
  <si>
    <t>GAON-M.TA</t>
  </si>
  <si>
    <t>GCT.TA</t>
  </si>
  <si>
    <t>GEFR.TA</t>
  </si>
  <si>
    <t>GFC-M.TA</t>
  </si>
  <si>
    <t>GIBUI.TA</t>
  </si>
  <si>
    <t>GILT.TA</t>
  </si>
  <si>
    <t>GIVO.TA</t>
  </si>
  <si>
    <t>GIX.TA</t>
  </si>
  <si>
    <t>GKL.TA</t>
  </si>
  <si>
    <t>GLEN-M.TA</t>
  </si>
  <si>
    <t>GLRS.TA</t>
  </si>
  <si>
    <t>GLTC.TA</t>
  </si>
  <si>
    <t>GLTL.TA</t>
  </si>
  <si>
    <t>GMLA.TA</t>
  </si>
  <si>
    <t>GNCL.TA</t>
  </si>
  <si>
    <t>GNGR.TA</t>
  </si>
  <si>
    <t>GNRS.TA</t>
  </si>
  <si>
    <t>GOHO.TA</t>
  </si>
  <si>
    <t>GOLD.TA</t>
  </si>
  <si>
    <t>GOLF.TA</t>
  </si>
  <si>
    <t>GOSS.TA</t>
  </si>
  <si>
    <t>GOTO.TA</t>
  </si>
  <si>
    <t>GPGB-M.TA</t>
  </si>
  <si>
    <t>GRAC.TA</t>
  </si>
  <si>
    <t>GSFI.TA</t>
  </si>
  <si>
    <t>GUID.TA</t>
  </si>
  <si>
    <t>GVYM.TA</t>
  </si>
  <si>
    <t>HAMAT.TA</t>
  </si>
  <si>
    <t>HARL.TA</t>
  </si>
  <si>
    <t>HDST-M.TA</t>
  </si>
  <si>
    <t>HGG.TA</t>
  </si>
  <si>
    <t>HGGE.TA</t>
  </si>
  <si>
    <t>HICN.TA</t>
  </si>
  <si>
    <t>HIPR.TA</t>
  </si>
  <si>
    <t>HLAN.TA</t>
  </si>
  <si>
    <t>HLMS.TA</t>
  </si>
  <si>
    <t>HMAM.TA</t>
  </si>
  <si>
    <t>HMGS.TA</t>
  </si>
  <si>
    <t>HOD.TA</t>
  </si>
  <si>
    <t>HRON.TA</t>
  </si>
  <si>
    <t>HUMX.TA</t>
  </si>
  <si>
    <t>IARG.TA</t>
  </si>
  <si>
    <t>ICL.TA</t>
  </si>
  <si>
    <t>ICON.TA</t>
  </si>
  <si>
    <t>IDIN.TA</t>
  </si>
  <si>
    <t>IDMO.TA</t>
  </si>
  <si>
    <t>IDNT.TA</t>
  </si>
  <si>
    <t>IES.TA</t>
  </si>
  <si>
    <t>IGLD.TA</t>
  </si>
  <si>
    <t>ILCO.TA</t>
  </si>
  <si>
    <t>ILDC.TA</t>
  </si>
  <si>
    <t>ILDR.TA</t>
  </si>
  <si>
    <t>ILX.TA</t>
  </si>
  <si>
    <t>IMCO.TA</t>
  </si>
  <si>
    <t>IMED.TA</t>
  </si>
  <si>
    <t>INCR.TA</t>
  </si>
  <si>
    <t>INFR-M.TA</t>
  </si>
  <si>
    <t>ININ.TA</t>
  </si>
  <si>
    <t>INRM.TA</t>
  </si>
  <si>
    <t>INTO.TA</t>
  </si>
  <si>
    <t>INTR.TA</t>
  </si>
  <si>
    <t>ISCN.TA</t>
  </si>
  <si>
    <t>ISHI.TA</t>
  </si>
  <si>
    <t>ISI.TA</t>
  </si>
  <si>
    <t>ISOP.TA</t>
  </si>
  <si>
    <t>ISRA.TA</t>
  </si>
  <si>
    <t>ISRG.TA</t>
  </si>
  <si>
    <t>ISRO.TA</t>
  </si>
  <si>
    <t>ISRS.TA</t>
  </si>
  <si>
    <t>ISTA.TA</t>
  </si>
  <si>
    <t>JBNK.TA</t>
  </si>
  <si>
    <t>JCFN.TA</t>
  </si>
  <si>
    <t>JNGO.TA</t>
  </si>
  <si>
    <t>KAFR.TA</t>
  </si>
  <si>
    <t>KARE.TA</t>
  </si>
  <si>
    <t>KDST.TA</t>
  </si>
  <si>
    <t>KEN.TA</t>
  </si>
  <si>
    <t>KLIL.TA</t>
  </si>
  <si>
    <t>KMDA.TA</t>
  </si>
  <si>
    <t>KNFM.TA</t>
  </si>
  <si>
    <t>KRDI.TA</t>
  </si>
  <si>
    <t>KRUR.TA</t>
  </si>
  <si>
    <t>KSTN.TA</t>
  </si>
  <si>
    <t>LAHAV.TA</t>
  </si>
  <si>
    <t>LBRA.TA</t>
  </si>
  <si>
    <t>LCTX.TA</t>
  </si>
  <si>
    <t>LEOF.TA</t>
  </si>
  <si>
    <t>LEVI.TA</t>
  </si>
  <si>
    <t>LHIS.TA</t>
  </si>
  <si>
    <t>LODZ.TA</t>
  </si>
  <si>
    <t>LPHL.TA</t>
  </si>
  <si>
    <t>LPSN.TA</t>
  </si>
  <si>
    <t>LSCO.TA</t>
  </si>
  <si>
    <t>LUDN.TA</t>
  </si>
  <si>
    <t>LUMI.TA</t>
  </si>
  <si>
    <t>LUZN.TA</t>
  </si>
  <si>
    <t>LVPR.TA</t>
  </si>
  <si>
    <t>MAXO.TA</t>
  </si>
  <si>
    <t>MCLL.TA</t>
  </si>
  <si>
    <t>MCMN.TA</t>
  </si>
  <si>
    <t>MCRNT.TA</t>
  </si>
  <si>
    <t>MDIN.TA</t>
  </si>
  <si>
    <t>MDPR.TA</t>
  </si>
  <si>
    <t>MDTR.TA</t>
  </si>
  <si>
    <t>MEDN.TA</t>
  </si>
  <si>
    <t>MGDL.TA</t>
  </si>
  <si>
    <t>MGIC.TA</t>
  </si>
  <si>
    <t>MGOR.TA</t>
  </si>
  <si>
    <t>MGRT.TA</t>
  </si>
  <si>
    <t>MIA.TA</t>
  </si>
  <si>
    <t>MIFT.TA</t>
  </si>
  <si>
    <t>MISH.TA</t>
  </si>
  <si>
    <t>MLD.TA</t>
  </si>
  <si>
    <t>MLRN.TA</t>
  </si>
  <si>
    <t>MLSR.TA</t>
  </si>
  <si>
    <t>MLTM.TA</t>
  </si>
  <si>
    <t>MMHD.TA</t>
  </si>
  <si>
    <t>MNIF.TA</t>
  </si>
  <si>
    <t>MNIN.TA</t>
  </si>
  <si>
    <t>MNRT.TA</t>
  </si>
  <si>
    <t>MPRS.TA</t>
  </si>
  <si>
    <t>MRG.TA</t>
  </si>
  <si>
    <t>MRHL.TA</t>
  </si>
  <si>
    <t>MSBI.TA</t>
  </si>
  <si>
    <t>MSHR.TA</t>
  </si>
  <si>
    <t>MSKE.TA</t>
  </si>
  <si>
    <t>MSLA.TA</t>
  </si>
  <si>
    <t>MSVT.TA</t>
  </si>
  <si>
    <t>MTLF.TA</t>
  </si>
  <si>
    <t>MTRN.TA</t>
  </si>
  <si>
    <t>MTRX.TA</t>
  </si>
  <si>
    <t>MVNE.TA</t>
  </si>
  <si>
    <t>MYDS.TA</t>
  </si>
  <si>
    <t>MZTF.TA</t>
  </si>
  <si>
    <t>NAWI.TA</t>
  </si>
  <si>
    <t>NFTA.TA</t>
  </si>
  <si>
    <t>NICE.TA</t>
  </si>
  <si>
    <t>NISA.TA</t>
  </si>
  <si>
    <t>NOFR.TA</t>
  </si>
  <si>
    <t>NRGN.TA</t>
  </si>
  <si>
    <t>NSTR.TA</t>
  </si>
  <si>
    <t>NTGR.TA</t>
  </si>
  <si>
    <t>NTML.TA</t>
  </si>
  <si>
    <t>NTNB.TA</t>
  </si>
  <si>
    <t>NTO.TA</t>
  </si>
  <si>
    <t>NURI.TA</t>
  </si>
  <si>
    <t>NVLG.TA</t>
  </si>
  <si>
    <t>NVMI.TA</t>
  </si>
  <si>
    <t>NVPT.TA</t>
  </si>
  <si>
    <t>NWMD.TA</t>
  </si>
  <si>
    <t>NXFR.TA</t>
  </si>
  <si>
    <t>NXGN.TA</t>
  </si>
  <si>
    <t>NXSN.TA</t>
  </si>
  <si>
    <t>NXTG.TA</t>
  </si>
  <si>
    <t>NXTM.TA</t>
  </si>
  <si>
    <t>NYAX.TA</t>
  </si>
  <si>
    <t>ONE.TA</t>
  </si>
  <si>
    <t>OPAL.TA</t>
  </si>
  <si>
    <t>OPCE.TA</t>
  </si>
  <si>
    <t>OPK.TA</t>
  </si>
  <si>
    <t>ORA.TA</t>
  </si>
  <si>
    <t>ORAD.TA</t>
  </si>
  <si>
    <t>ORBI.TA</t>
  </si>
  <si>
    <t>ORIN.TA</t>
  </si>
  <si>
    <t>ORL.TA</t>
  </si>
  <si>
    <t>ORMP.TA</t>
  </si>
  <si>
    <t>ORON.TA</t>
  </si>
  <si>
    <t>ORTC.TA</t>
  </si>
  <si>
    <t>OVRS.TA</t>
  </si>
  <si>
    <t>PAYT.TA</t>
  </si>
  <si>
    <t>PAZ.TA</t>
  </si>
  <si>
    <t>PCBT.TA</t>
  </si>
  <si>
    <t>PEN.TA</t>
  </si>
  <si>
    <t>PERI.TA</t>
  </si>
  <si>
    <t>PHOE.TA</t>
  </si>
  <si>
    <t>PHTM.TA</t>
  </si>
  <si>
    <t>PLAZ-L.TA</t>
  </si>
  <si>
    <t>PLCR.TA</t>
  </si>
  <si>
    <t>PLNT.TA</t>
  </si>
  <si>
    <t>PLRM.TA</t>
  </si>
  <si>
    <t>PLSN.TA</t>
  </si>
  <si>
    <t>PLUR.TA</t>
  </si>
  <si>
    <t>PMNT.TA</t>
  </si>
  <si>
    <t>PMVM.TA</t>
  </si>
  <si>
    <t>POLI.TA</t>
  </si>
  <si>
    <t>POLP.TA</t>
  </si>
  <si>
    <t>POLY.TA</t>
  </si>
  <si>
    <t>PPBT.TA</t>
  </si>
  <si>
    <t>PPIL.TA</t>
  </si>
  <si>
    <t>PRIM.TA</t>
  </si>
  <si>
    <t>PRKM.TA</t>
  </si>
  <si>
    <t>PRMG.TA</t>
  </si>
  <si>
    <t>PRPD.TA</t>
  </si>
  <si>
    <t>PRSK.TA</t>
  </si>
  <si>
    <t>PRTC.TA</t>
  </si>
  <si>
    <t>PTBL.TA</t>
  </si>
  <si>
    <t>PTCH.TA</t>
  </si>
  <si>
    <t>PTNR.TA</t>
  </si>
  <si>
    <t>PTX.TA</t>
  </si>
  <si>
    <t>PULS.TA</t>
  </si>
  <si>
    <t>QLRD.TA</t>
  </si>
  <si>
    <t>QLTU.TA</t>
  </si>
  <si>
    <t>QNCO.TA</t>
  </si>
  <si>
    <t>RANI.TA</t>
  </si>
  <si>
    <t>RATI.TA</t>
  </si>
  <si>
    <t>RAVD.TA</t>
  </si>
  <si>
    <t>RAYG-M.TA</t>
  </si>
  <si>
    <t>REKA.TA</t>
  </si>
  <si>
    <t>RIMO.TA</t>
  </si>
  <si>
    <t>RIT1.TA</t>
  </si>
  <si>
    <t>RLCO.TA</t>
  </si>
  <si>
    <t>RMLI.TA</t>
  </si>
  <si>
    <t>RMN.TA</t>
  </si>
  <si>
    <t>RMON.TA</t>
  </si>
  <si>
    <t>ROBO.TA</t>
  </si>
  <si>
    <t>ROTS.TA</t>
  </si>
  <si>
    <t>RPAC.TA</t>
  </si>
  <si>
    <t>RSEL.TA</t>
  </si>
  <si>
    <t>RTEN.TA</t>
  </si>
  <si>
    <t>RTLS.TA</t>
  </si>
  <si>
    <t>RTMD-L.TA</t>
  </si>
  <si>
    <t>RTPT.TA</t>
  </si>
  <si>
    <t>RVL.TA</t>
  </si>
  <si>
    <t>RZR.TA</t>
  </si>
  <si>
    <t>SAE.TA</t>
  </si>
  <si>
    <t>SANO1.TA</t>
  </si>
  <si>
    <t>SARN.TA</t>
  </si>
  <si>
    <t>SBEN.TA</t>
  </si>
  <si>
    <t>SCC.TA</t>
  </si>
  <si>
    <t>SCDX.TA</t>
  </si>
  <si>
    <t>SCOP.TA</t>
  </si>
  <si>
    <t>SEMG.TA</t>
  </si>
  <si>
    <t>SFRN.TA</t>
  </si>
  <si>
    <t>SHAN.TA</t>
  </si>
  <si>
    <t>SHGR.TA</t>
  </si>
  <si>
    <t>SHMM.TA</t>
  </si>
  <si>
    <t>SHNP.TA</t>
  </si>
  <si>
    <t>SHOM.TA</t>
  </si>
  <si>
    <t>SKBN.TA</t>
  </si>
  <si>
    <t>SKLN.TA</t>
  </si>
  <si>
    <t>SLARL.TA</t>
  </si>
  <si>
    <t>SLRM.TA</t>
  </si>
  <si>
    <t>SMAG.TA</t>
  </si>
  <si>
    <t>SMNR.TA</t>
  </si>
  <si>
    <t>SMT.TA</t>
  </si>
  <si>
    <t>SNCM.TA</t>
  </si>
  <si>
    <t>SNEL.TA</t>
  </si>
  <si>
    <t>SNFL.TA</t>
  </si>
  <si>
    <t>SOFW.TA</t>
  </si>
  <si>
    <t>SOLR.TA</t>
  </si>
  <si>
    <t>SONO.TA</t>
  </si>
  <si>
    <t>SPDV.TA</t>
  </si>
  <si>
    <t>SPEN.TA</t>
  </si>
  <si>
    <t>SPNS.TA</t>
  </si>
  <si>
    <t>SPNTC.TA</t>
  </si>
  <si>
    <t>SPRG.TA</t>
  </si>
  <si>
    <t>SRAC.TA</t>
  </si>
  <si>
    <t>SRFT.TA</t>
  </si>
  <si>
    <t>STEC.TA</t>
  </si>
  <si>
    <t>STG.TA</t>
  </si>
  <si>
    <t>STRG.TA</t>
  </si>
  <si>
    <t>STRS.TA</t>
  </si>
  <si>
    <t>STRW.TA</t>
  </si>
  <si>
    <t>SVRE.TA</t>
  </si>
  <si>
    <t>SVRT.TA</t>
  </si>
  <si>
    <t>TATT.TA</t>
  </si>
  <si>
    <t>TAYA.TA</t>
  </si>
  <si>
    <t>TDRN.TA</t>
  </si>
  <si>
    <t>TECT.TA</t>
  </si>
  <si>
    <t>TEDE.TA</t>
  </si>
  <si>
    <t>TEVA.TA</t>
  </si>
  <si>
    <t>TFRLF.TA</t>
  </si>
  <si>
    <t>TGI.TA</t>
  </si>
  <si>
    <t>TGTR.TA</t>
  </si>
  <si>
    <t>THES.TA</t>
  </si>
  <si>
    <t>TIGBUR.TA</t>
  </si>
  <si>
    <t>TIGI.TA</t>
  </si>
  <si>
    <t>TKUN.TA</t>
  </si>
  <si>
    <t>TLSY.TA</t>
  </si>
  <si>
    <t>TMIS.TA</t>
  </si>
  <si>
    <t>TMRP.TA</t>
  </si>
  <si>
    <t>TNDO.TA</t>
  </si>
  <si>
    <t>TNPV.TA</t>
  </si>
  <si>
    <t>TOEN.TA</t>
  </si>
  <si>
    <t>TOPS.TA</t>
  </si>
  <si>
    <t>TRA.TA</t>
  </si>
  <si>
    <t>TRAN.TA</t>
  </si>
  <si>
    <t>TRLT.TA</t>
  </si>
  <si>
    <t>TRPZ.TA</t>
  </si>
  <si>
    <t>TRX.TA</t>
  </si>
  <si>
    <t>TSEM.TA</t>
  </si>
  <si>
    <t>TTAM.TA</t>
  </si>
  <si>
    <t>TURB.TA</t>
  </si>
  <si>
    <t>TUZA.TA</t>
  </si>
  <si>
    <t>UMH.TA</t>
  </si>
  <si>
    <t>UNCT.TA</t>
  </si>
  <si>
    <t>UNIT.TA</t>
  </si>
  <si>
    <t>UNTC.TA</t>
  </si>
  <si>
    <t>UPSL.TA</t>
  </si>
  <si>
    <t>UTRN.TA</t>
  </si>
  <si>
    <t>VCTR.TA</t>
  </si>
  <si>
    <t>VILR.TA</t>
  </si>
  <si>
    <t>VISN.TA</t>
  </si>
  <si>
    <t>VRDS.TA</t>
  </si>
  <si>
    <t>VTNA.TA</t>
  </si>
  <si>
    <t>WATR.TA</t>
  </si>
  <si>
    <t>WESR.TA</t>
  </si>
  <si>
    <t>WILC.TA</t>
  </si>
  <si>
    <t>WILK.TA</t>
  </si>
  <si>
    <t>WLFD.TA</t>
  </si>
  <si>
    <t>WNBZ.TA</t>
  </si>
  <si>
    <t>XTLB.TA</t>
  </si>
  <si>
    <t>YAAC.TA</t>
  </si>
  <si>
    <t>YBOX.TA</t>
  </si>
  <si>
    <t>YBRD.TA</t>
  </si>
  <si>
    <t>YHNF.TA</t>
  </si>
  <si>
    <t>ZMH.TA</t>
  </si>
  <si>
    <t>ZNKL.TA</t>
  </si>
  <si>
    <t>ZOOZ.TA</t>
  </si>
  <si>
    <t>ZPRS.TA</t>
  </si>
  <si>
    <t>ZUR.TA</t>
  </si>
  <si>
    <r>
      <rPr>
        <b/>
        <sz val="11"/>
        <color theme="1"/>
        <rFont val="Calibri"/>
        <family val="2"/>
        <scheme val="minor"/>
      </rPr>
      <t>Final Score</t>
    </r>
    <r>
      <rPr>
        <sz val="11"/>
        <color theme="1"/>
        <rFont val="Calibri"/>
        <family val="2"/>
        <scheme val="minor"/>
      </rPr>
      <t xml:space="preserve"> = wMSE​×ZMSE​+wMAE​×ZMAE​+wMAPE​×ZMAPE​−wR2​×ZR2​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</si>
</sst>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"/>
  <sheetViews>
    <sheetView tabSelected="1" workbookViewId="0">
      <selection activeCell="I11" sqref="I11"/>
    </sheetView>
  </sheetViews>
  <sheetFormatPr defaultRowHeight="14.5" x14ac:dyDescent="0.35"/>
  <cols>
    <col min="7" max="7" width="10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5">
      <c r="A2" t="s">
        <v>7</v>
      </c>
      <c r="B2" t="s">
        <v>8</v>
      </c>
      <c r="C2">
        <v>2.8476415720000001</v>
      </c>
      <c r="D2">
        <v>1.3578350100000001</v>
      </c>
      <c r="E2">
        <v>0.99576355000000005</v>
      </c>
      <c r="F2">
        <v>4.4551520000000004E-3</v>
      </c>
      <c r="G2">
        <v>-1.0284408221318799</v>
      </c>
    </row>
    <row r="3" spans="1:11" x14ac:dyDescent="0.35">
      <c r="A3" t="s">
        <v>9</v>
      </c>
      <c r="B3" t="s">
        <v>10</v>
      </c>
      <c r="C3">
        <v>6.1977813209999999</v>
      </c>
      <c r="D3">
        <v>1.2075277529999999</v>
      </c>
      <c r="E3">
        <v>0.98839355399999995</v>
      </c>
      <c r="F3">
        <v>8.1764709999999994E-3</v>
      </c>
      <c r="G3">
        <v>-1.269099703026753</v>
      </c>
      <c r="J3" s="2" t="s">
        <v>8</v>
      </c>
      <c r="K3" s="2">
        <f>COUNTIF(B3:B511, "LSTM")</f>
        <v>227</v>
      </c>
    </row>
    <row r="4" spans="1:11" x14ac:dyDescent="0.35">
      <c r="A4" t="s">
        <v>11</v>
      </c>
      <c r="B4" t="s">
        <v>8</v>
      </c>
      <c r="C4">
        <v>2484.195737</v>
      </c>
      <c r="D4">
        <v>44.223400980000001</v>
      </c>
      <c r="E4">
        <v>0.603528065</v>
      </c>
      <c r="F4">
        <v>5.2912483000000003E-2</v>
      </c>
      <c r="G4">
        <v>-1.384917791451685</v>
      </c>
      <c r="J4" s="2" t="s">
        <v>10</v>
      </c>
      <c r="K4" s="2">
        <f>COUNTIF(B3:B511, "GRU")</f>
        <v>148</v>
      </c>
    </row>
    <row r="5" spans="1:11" x14ac:dyDescent="0.35">
      <c r="A5" t="s">
        <v>12</v>
      </c>
      <c r="B5" t="s">
        <v>10</v>
      </c>
      <c r="C5">
        <v>1062.296893</v>
      </c>
      <c r="D5">
        <v>24.623423150000001</v>
      </c>
      <c r="E5">
        <v>0.98983474900000001</v>
      </c>
      <c r="F5">
        <v>4.1010680000000002E-3</v>
      </c>
      <c r="G5">
        <v>-1.035090927606976</v>
      </c>
      <c r="J5" s="2" t="s">
        <v>18</v>
      </c>
      <c r="K5" s="2">
        <f>COUNTIF(B3:B511, "XGBoost")</f>
        <v>78</v>
      </c>
    </row>
    <row r="6" spans="1:11" x14ac:dyDescent="0.35">
      <c r="A6" t="s">
        <v>13</v>
      </c>
      <c r="B6" t="s">
        <v>8</v>
      </c>
      <c r="C6">
        <v>6.329996714</v>
      </c>
      <c r="D6">
        <v>1.964351776</v>
      </c>
      <c r="E6">
        <v>0.99725292600000004</v>
      </c>
      <c r="F6">
        <v>3.6934569999999998E-3</v>
      </c>
      <c r="G6">
        <v>-1.577784762735019</v>
      </c>
      <c r="J6" s="2" t="s">
        <v>26</v>
      </c>
      <c r="K6" s="2">
        <f>COUNTIF(B3:B511, "LightGBM")</f>
        <v>44</v>
      </c>
    </row>
    <row r="7" spans="1:11" x14ac:dyDescent="0.35">
      <c r="A7" t="s">
        <v>14</v>
      </c>
      <c r="B7" t="s">
        <v>8</v>
      </c>
      <c r="C7">
        <v>12917.61514</v>
      </c>
      <c r="D7">
        <v>68.574808160000003</v>
      </c>
      <c r="E7">
        <v>0.99926686799999997</v>
      </c>
      <c r="F7">
        <v>4.8143630000000003E-3</v>
      </c>
      <c r="G7">
        <v>-0.99999999999720557</v>
      </c>
    </row>
    <row r="8" spans="1:11" x14ac:dyDescent="0.35">
      <c r="A8" t="s">
        <v>15</v>
      </c>
      <c r="B8" t="s">
        <v>8</v>
      </c>
      <c r="C8">
        <v>4422.8128649999999</v>
      </c>
      <c r="D8">
        <v>50.772782429999999</v>
      </c>
      <c r="E8">
        <v>0.98279428000000002</v>
      </c>
      <c r="F8">
        <v>2.9726100000000001E-3</v>
      </c>
      <c r="G8">
        <v>-1.4274923922973859</v>
      </c>
    </row>
    <row r="9" spans="1:11" x14ac:dyDescent="0.35">
      <c r="A9" t="s">
        <v>16</v>
      </c>
      <c r="B9" t="s">
        <v>10</v>
      </c>
      <c r="C9">
        <v>93699.199949999995</v>
      </c>
      <c r="D9">
        <v>229.3850478</v>
      </c>
      <c r="E9">
        <v>0.97300885000000004</v>
      </c>
      <c r="F9">
        <v>8.5549000000000007E-3</v>
      </c>
      <c r="G9">
        <v>-0.73086064064188094</v>
      </c>
      <c r="J9" t="s">
        <v>509</v>
      </c>
    </row>
    <row r="10" spans="1:11" x14ac:dyDescent="0.35">
      <c r="A10" t="s">
        <v>17</v>
      </c>
      <c r="B10" t="s">
        <v>18</v>
      </c>
      <c r="C10">
        <v>49307.62588</v>
      </c>
      <c r="D10">
        <v>83.799223019999999</v>
      </c>
      <c r="E10">
        <v>-0.111182188</v>
      </c>
      <c r="F10">
        <v>150.24762509911201</v>
      </c>
      <c r="G10">
        <v>-1.0000000000000111</v>
      </c>
    </row>
    <row r="11" spans="1:11" x14ac:dyDescent="0.35">
      <c r="A11" t="s">
        <v>19</v>
      </c>
      <c r="B11" t="s">
        <v>8</v>
      </c>
      <c r="C11">
        <v>256.82733180000002</v>
      </c>
      <c r="D11">
        <v>12.167691700000001</v>
      </c>
      <c r="E11">
        <v>-5.5771482460000001</v>
      </c>
      <c r="F11">
        <v>0.270736843</v>
      </c>
      <c r="G11">
        <v>-0.70002936105619118</v>
      </c>
    </row>
    <row r="12" spans="1:11" x14ac:dyDescent="0.35">
      <c r="A12" t="s">
        <v>20</v>
      </c>
      <c r="B12" t="s">
        <v>10</v>
      </c>
      <c r="C12">
        <v>277.4939157</v>
      </c>
      <c r="D12">
        <v>14.0641479</v>
      </c>
      <c r="E12">
        <v>0.966352235</v>
      </c>
      <c r="F12">
        <v>3.9410695000000003E-2</v>
      </c>
      <c r="G12">
        <v>-0.7999999999999996</v>
      </c>
    </row>
    <row r="13" spans="1:11" x14ac:dyDescent="0.35">
      <c r="A13" t="s">
        <v>21</v>
      </c>
      <c r="B13" t="s">
        <v>10</v>
      </c>
      <c r="C13">
        <v>1192.9227550000001</v>
      </c>
      <c r="D13">
        <v>29.1714041</v>
      </c>
      <c r="E13">
        <v>0.96621260399999997</v>
      </c>
      <c r="F13">
        <v>1.5808811999999998E-2</v>
      </c>
      <c r="G13">
        <v>-1.00143711249065</v>
      </c>
    </row>
    <row r="14" spans="1:11" x14ac:dyDescent="0.35">
      <c r="A14" t="s">
        <v>22</v>
      </c>
      <c r="B14" t="s">
        <v>8</v>
      </c>
      <c r="C14">
        <v>326.78597409999998</v>
      </c>
      <c r="D14">
        <v>13.143042960000001</v>
      </c>
      <c r="E14">
        <v>0.99358670900000001</v>
      </c>
      <c r="F14">
        <v>4.1864600000000004E-3</v>
      </c>
      <c r="G14">
        <v>-0.80585652554505283</v>
      </c>
    </row>
    <row r="15" spans="1:11" x14ac:dyDescent="0.35">
      <c r="A15" t="s">
        <v>23</v>
      </c>
      <c r="B15" t="s">
        <v>10</v>
      </c>
      <c r="C15">
        <v>9896.5012829999996</v>
      </c>
      <c r="D15">
        <v>82.706698059999994</v>
      </c>
      <c r="E15">
        <v>0.97730929600000005</v>
      </c>
      <c r="F15">
        <v>4.0678823000000003E-2</v>
      </c>
      <c r="G15">
        <v>-1.0000000000000031</v>
      </c>
    </row>
    <row r="16" spans="1:11" x14ac:dyDescent="0.35">
      <c r="A16" t="s">
        <v>24</v>
      </c>
      <c r="B16" t="s">
        <v>10</v>
      </c>
      <c r="C16">
        <v>285.94080989999998</v>
      </c>
      <c r="D16">
        <v>9.2516576090000004</v>
      </c>
      <c r="E16">
        <v>0.97551196500000004</v>
      </c>
      <c r="F16">
        <v>9.2291500000000002E-3</v>
      </c>
      <c r="G16">
        <v>-1.146239170392944</v>
      </c>
    </row>
    <row r="17" spans="1:7" x14ac:dyDescent="0.35">
      <c r="A17" t="s">
        <v>25</v>
      </c>
      <c r="B17" t="s">
        <v>26</v>
      </c>
      <c r="C17">
        <v>0.43950276599999999</v>
      </c>
      <c r="D17">
        <v>0.50880692500000002</v>
      </c>
      <c r="E17">
        <v>0.97456252600000004</v>
      </c>
      <c r="F17">
        <v>1.3958407004054101</v>
      </c>
      <c r="G17">
        <v>-1</v>
      </c>
    </row>
    <row r="18" spans="1:7" x14ac:dyDescent="0.35">
      <c r="A18" t="s">
        <v>27</v>
      </c>
      <c r="B18" t="s">
        <v>10</v>
      </c>
      <c r="C18">
        <v>51684.144310000003</v>
      </c>
      <c r="D18">
        <v>203.64666030000001</v>
      </c>
      <c r="E18">
        <v>0.36895307700000002</v>
      </c>
      <c r="F18">
        <v>1.6985612940000001</v>
      </c>
      <c r="G18">
        <v>-0.84094489430666208</v>
      </c>
    </row>
    <row r="19" spans="1:7" x14ac:dyDescent="0.35">
      <c r="A19" t="s">
        <v>28</v>
      </c>
      <c r="B19" t="s">
        <v>8</v>
      </c>
      <c r="C19">
        <v>9757.1955479999997</v>
      </c>
      <c r="D19">
        <v>76.999210770000005</v>
      </c>
      <c r="E19">
        <v>0.99818065099999997</v>
      </c>
      <c r="F19">
        <v>4.3494750000000002E-3</v>
      </c>
      <c r="G19">
        <v>-1.2069931478851501</v>
      </c>
    </row>
    <row r="20" spans="1:7" x14ac:dyDescent="0.35">
      <c r="A20" t="s">
        <v>29</v>
      </c>
      <c r="B20" t="s">
        <v>18</v>
      </c>
      <c r="C20">
        <v>6.9527632150000001</v>
      </c>
      <c r="D20">
        <v>2.2915330460000001</v>
      </c>
      <c r="E20">
        <v>0.57196047900000002</v>
      </c>
      <c r="F20">
        <v>7.0569574237992096</v>
      </c>
      <c r="G20">
        <v>-1</v>
      </c>
    </row>
    <row r="21" spans="1:7" x14ac:dyDescent="0.35">
      <c r="A21" t="s">
        <v>30</v>
      </c>
      <c r="B21" t="s">
        <v>8</v>
      </c>
      <c r="C21">
        <v>23.877210770000001</v>
      </c>
      <c r="D21">
        <v>3.5017841299999999</v>
      </c>
      <c r="E21">
        <v>0.99837156500000002</v>
      </c>
      <c r="F21">
        <v>2.1511619999999999E-3</v>
      </c>
      <c r="G21">
        <v>-1.1086996330480909</v>
      </c>
    </row>
    <row r="22" spans="1:7" x14ac:dyDescent="0.35">
      <c r="A22" t="s">
        <v>31</v>
      </c>
      <c r="B22" t="s">
        <v>8</v>
      </c>
      <c r="C22">
        <v>79.382266220000005</v>
      </c>
      <c r="D22">
        <v>6.6185277119999997</v>
      </c>
      <c r="E22">
        <v>0.93511102000000001</v>
      </c>
      <c r="F22">
        <v>7.20522E-3</v>
      </c>
      <c r="G22">
        <v>-1</v>
      </c>
    </row>
    <row r="23" spans="1:7" x14ac:dyDescent="0.35">
      <c r="A23" t="s">
        <v>32</v>
      </c>
      <c r="B23" t="s">
        <v>18</v>
      </c>
      <c r="C23">
        <v>0.25150879700000001</v>
      </c>
      <c r="D23">
        <v>0.39388169899999997</v>
      </c>
      <c r="E23">
        <v>-11.72427661</v>
      </c>
      <c r="F23">
        <v>23.512763046345501</v>
      </c>
      <c r="G23">
        <v>-0.61039743091905507</v>
      </c>
    </row>
    <row r="24" spans="1:7" x14ac:dyDescent="0.35">
      <c r="A24" t="s">
        <v>33</v>
      </c>
      <c r="B24" t="s">
        <v>8</v>
      </c>
      <c r="C24">
        <v>15.25637818</v>
      </c>
      <c r="D24">
        <v>3.0240950870000001</v>
      </c>
      <c r="E24">
        <v>0.99962537799999995</v>
      </c>
      <c r="F24">
        <v>1.6441159999999999E-3</v>
      </c>
      <c r="G24">
        <v>-1.1547829779469061</v>
      </c>
    </row>
    <row r="25" spans="1:7" x14ac:dyDescent="0.35">
      <c r="A25" t="s">
        <v>34</v>
      </c>
      <c r="B25" t="s">
        <v>10</v>
      </c>
      <c r="C25">
        <v>362.57635260000001</v>
      </c>
      <c r="D25">
        <v>13.403031199999999</v>
      </c>
      <c r="E25">
        <v>0.98607364600000003</v>
      </c>
      <c r="F25">
        <v>4.5508750000000002E-3</v>
      </c>
      <c r="G25">
        <v>-1.1583779264735281</v>
      </c>
    </row>
    <row r="26" spans="1:7" x14ac:dyDescent="0.35">
      <c r="A26" t="s">
        <v>35</v>
      </c>
      <c r="B26" t="s">
        <v>10</v>
      </c>
      <c r="C26">
        <v>2.0279004349999998</v>
      </c>
      <c r="D26">
        <v>0.91090593600000003</v>
      </c>
      <c r="E26">
        <v>0.88018631000000003</v>
      </c>
      <c r="F26">
        <v>3.8465882999999999E-2</v>
      </c>
      <c r="G26">
        <v>-1</v>
      </c>
    </row>
    <row r="27" spans="1:7" x14ac:dyDescent="0.35">
      <c r="A27" t="s">
        <v>36</v>
      </c>
      <c r="B27" t="s">
        <v>8</v>
      </c>
      <c r="C27">
        <v>482.1628829</v>
      </c>
      <c r="D27">
        <v>15.19859851</v>
      </c>
      <c r="E27">
        <v>0.99430514199999998</v>
      </c>
      <c r="F27">
        <v>4.7336770000000004E-3</v>
      </c>
      <c r="G27">
        <v>-1.4774899561884589</v>
      </c>
    </row>
    <row r="28" spans="1:7" x14ac:dyDescent="0.35">
      <c r="A28" t="s">
        <v>37</v>
      </c>
      <c r="B28" t="s">
        <v>10</v>
      </c>
      <c r="C28">
        <v>475.89455550000002</v>
      </c>
      <c r="D28">
        <v>16.976753890000001</v>
      </c>
      <c r="E28">
        <v>0.92533027199999995</v>
      </c>
      <c r="F28">
        <v>5.2306002999999997E-2</v>
      </c>
      <c r="G28">
        <v>-0.82156764342989808</v>
      </c>
    </row>
    <row r="29" spans="1:7" x14ac:dyDescent="0.35">
      <c r="A29" t="s">
        <v>38</v>
      </c>
      <c r="B29" t="s">
        <v>10</v>
      </c>
      <c r="C29">
        <v>1034.3286210000001</v>
      </c>
      <c r="D29">
        <v>24.581200989999999</v>
      </c>
      <c r="E29">
        <v>0.32269683399999999</v>
      </c>
      <c r="F29">
        <v>0.16084226200000001</v>
      </c>
      <c r="G29">
        <v>-1.0058541956100939</v>
      </c>
    </row>
    <row r="30" spans="1:7" x14ac:dyDescent="0.35">
      <c r="A30" t="s">
        <v>39</v>
      </c>
      <c r="B30" t="s">
        <v>10</v>
      </c>
      <c r="C30">
        <v>4494743.4759999998</v>
      </c>
      <c r="D30">
        <v>1043.477564</v>
      </c>
      <c r="E30">
        <v>0.87592091599999999</v>
      </c>
      <c r="F30">
        <v>5.2378484780000001</v>
      </c>
      <c r="G30">
        <v>-0.71212505660658221</v>
      </c>
    </row>
    <row r="31" spans="1:7" x14ac:dyDescent="0.35">
      <c r="A31" t="s">
        <v>40</v>
      </c>
      <c r="B31" t="s">
        <v>18</v>
      </c>
      <c r="C31">
        <v>161.73147560000001</v>
      </c>
      <c r="D31">
        <v>8.4370162030000007</v>
      </c>
      <c r="E31">
        <v>0.98634573199999998</v>
      </c>
      <c r="F31">
        <v>0.41602801123467997</v>
      </c>
      <c r="G31">
        <v>-0.88639863275752118</v>
      </c>
    </row>
    <row r="32" spans="1:7" x14ac:dyDescent="0.35">
      <c r="A32" t="s">
        <v>41</v>
      </c>
      <c r="B32" t="s">
        <v>10</v>
      </c>
      <c r="C32">
        <v>91.758126180000005</v>
      </c>
      <c r="D32">
        <v>6.0472723390000001</v>
      </c>
      <c r="E32">
        <v>0.99729140999999999</v>
      </c>
      <c r="F32">
        <v>1.188838E-3</v>
      </c>
      <c r="G32">
        <v>-1.000000000000002</v>
      </c>
    </row>
    <row r="33" spans="1:7" x14ac:dyDescent="0.35">
      <c r="A33" t="s">
        <v>42</v>
      </c>
      <c r="B33" t="s">
        <v>18</v>
      </c>
      <c r="C33">
        <v>9.6295742509999993</v>
      </c>
      <c r="D33">
        <v>2.4493416770000001</v>
      </c>
      <c r="E33">
        <v>0.97570205600000004</v>
      </c>
      <c r="F33">
        <v>3.7674437595840402</v>
      </c>
      <c r="G33">
        <v>-1</v>
      </c>
    </row>
    <row r="34" spans="1:7" x14ac:dyDescent="0.35">
      <c r="A34" t="s">
        <v>43</v>
      </c>
      <c r="B34" t="s">
        <v>10</v>
      </c>
      <c r="C34">
        <v>64090.10385</v>
      </c>
      <c r="D34">
        <v>210.05977480000001</v>
      </c>
      <c r="E34">
        <v>0.21897881999999999</v>
      </c>
      <c r="F34">
        <v>3.1678696999999999E-2</v>
      </c>
      <c r="G34">
        <v>-0.99999999999999944</v>
      </c>
    </row>
    <row r="35" spans="1:7" x14ac:dyDescent="0.35">
      <c r="A35" t="s">
        <v>44</v>
      </c>
      <c r="B35" t="s">
        <v>10</v>
      </c>
      <c r="C35">
        <v>9696.1124189999991</v>
      </c>
      <c r="D35">
        <v>57.472064369999998</v>
      </c>
      <c r="E35">
        <v>0.975319029</v>
      </c>
      <c r="F35">
        <v>5.5918089999999997E-3</v>
      </c>
      <c r="G35">
        <v>-1</v>
      </c>
    </row>
    <row r="36" spans="1:7" x14ac:dyDescent="0.35">
      <c r="A36" t="s">
        <v>45</v>
      </c>
      <c r="B36" t="s">
        <v>18</v>
      </c>
      <c r="C36">
        <v>9.697374903</v>
      </c>
      <c r="D36">
        <v>2.374151736</v>
      </c>
      <c r="E36">
        <v>0.97107469300000004</v>
      </c>
      <c r="F36">
        <v>1.0400623898943999</v>
      </c>
      <c r="G36">
        <v>-1.000000000000002</v>
      </c>
    </row>
    <row r="37" spans="1:7" x14ac:dyDescent="0.35">
      <c r="A37" t="s">
        <v>46</v>
      </c>
      <c r="B37" t="s">
        <v>10</v>
      </c>
      <c r="C37">
        <v>155.564491</v>
      </c>
      <c r="D37">
        <v>9.5982743179999996</v>
      </c>
      <c r="E37">
        <v>0.99831893999999999</v>
      </c>
      <c r="F37">
        <v>1.654193E-3</v>
      </c>
      <c r="G37">
        <v>-1.3097041518318091</v>
      </c>
    </row>
    <row r="38" spans="1:7" x14ac:dyDescent="0.35">
      <c r="A38" t="s">
        <v>47</v>
      </c>
      <c r="B38" t="s">
        <v>26</v>
      </c>
      <c r="C38">
        <v>294.92296620000002</v>
      </c>
      <c r="D38">
        <v>13.09503735</v>
      </c>
      <c r="E38">
        <v>-4.5311894419999996</v>
      </c>
      <c r="F38">
        <v>81.646581096568397</v>
      </c>
      <c r="G38">
        <v>-1</v>
      </c>
    </row>
    <row r="39" spans="1:7" x14ac:dyDescent="0.35">
      <c r="A39" t="s">
        <v>48</v>
      </c>
      <c r="B39" t="s">
        <v>18</v>
      </c>
      <c r="C39">
        <v>45690.848449999998</v>
      </c>
      <c r="D39">
        <v>189.15258890000001</v>
      </c>
      <c r="E39">
        <v>-3.4669120389999999</v>
      </c>
      <c r="F39">
        <v>37.904738701878003</v>
      </c>
      <c r="G39">
        <v>-0.99999999999999956</v>
      </c>
    </row>
    <row r="40" spans="1:7" x14ac:dyDescent="0.35">
      <c r="A40" t="s">
        <v>49</v>
      </c>
      <c r="B40" t="s">
        <v>10</v>
      </c>
      <c r="C40">
        <v>48.06263569</v>
      </c>
      <c r="D40">
        <v>5.7621820699999997</v>
      </c>
      <c r="E40">
        <v>0.99326150499999999</v>
      </c>
      <c r="F40">
        <v>8.3997770000000006E-3</v>
      </c>
      <c r="G40">
        <v>-0.99042934102956104</v>
      </c>
    </row>
    <row r="41" spans="1:7" x14ac:dyDescent="0.35">
      <c r="A41" t="s">
        <v>50</v>
      </c>
      <c r="B41" t="s">
        <v>10</v>
      </c>
      <c r="C41">
        <v>3404.824118</v>
      </c>
      <c r="D41">
        <v>31.53204281</v>
      </c>
      <c r="E41">
        <v>0.98983011099999996</v>
      </c>
      <c r="F41">
        <v>5.1612369999999999E-3</v>
      </c>
      <c r="G41">
        <v>-1.000000000000002</v>
      </c>
    </row>
    <row r="42" spans="1:7" x14ac:dyDescent="0.35">
      <c r="A42" t="s">
        <v>51</v>
      </c>
      <c r="B42" t="s">
        <v>8</v>
      </c>
      <c r="C42">
        <v>269092.7279</v>
      </c>
      <c r="D42">
        <v>434.34949970000002</v>
      </c>
      <c r="E42">
        <v>0.193836071</v>
      </c>
      <c r="F42">
        <v>8.2779288000000006E-2</v>
      </c>
      <c r="G42">
        <v>-1.0746651535384391</v>
      </c>
    </row>
    <row r="43" spans="1:7" x14ac:dyDescent="0.35">
      <c r="A43" t="s">
        <v>52</v>
      </c>
      <c r="B43" t="s">
        <v>10</v>
      </c>
      <c r="C43">
        <v>3642.7089970000002</v>
      </c>
      <c r="D43">
        <v>48.810704299999998</v>
      </c>
      <c r="E43">
        <v>0.96059310600000003</v>
      </c>
      <c r="F43">
        <v>1.3843718E-2</v>
      </c>
      <c r="G43">
        <v>-0.99999999999999911</v>
      </c>
    </row>
    <row r="44" spans="1:7" x14ac:dyDescent="0.35">
      <c r="A44" t="s">
        <v>53</v>
      </c>
      <c r="B44" t="s">
        <v>18</v>
      </c>
      <c r="C44">
        <v>1455.423761</v>
      </c>
      <c r="D44">
        <v>32.227681619999998</v>
      </c>
      <c r="E44">
        <v>0.91434626799999996</v>
      </c>
      <c r="F44">
        <v>14.7417194613039</v>
      </c>
      <c r="G44">
        <v>-1</v>
      </c>
    </row>
    <row r="45" spans="1:7" x14ac:dyDescent="0.35">
      <c r="A45" t="s">
        <v>54</v>
      </c>
      <c r="B45" t="s">
        <v>10</v>
      </c>
      <c r="C45">
        <v>3879.950554</v>
      </c>
      <c r="D45">
        <v>36.1370997</v>
      </c>
      <c r="E45">
        <v>0.84248594399999999</v>
      </c>
      <c r="F45">
        <v>9.3276440000000002E-2</v>
      </c>
      <c r="G45">
        <v>-0.73995775828290788</v>
      </c>
    </row>
    <row r="46" spans="1:7" x14ac:dyDescent="0.35">
      <c r="A46" t="s">
        <v>55</v>
      </c>
      <c r="B46" t="s">
        <v>8</v>
      </c>
      <c r="C46">
        <v>6627.054451</v>
      </c>
      <c r="D46">
        <v>63.715541819999999</v>
      </c>
      <c r="E46">
        <v>0.90974487800000003</v>
      </c>
      <c r="F46">
        <v>2.9448841E-2</v>
      </c>
      <c r="G46">
        <v>-1.0200285566083649</v>
      </c>
    </row>
    <row r="47" spans="1:7" x14ac:dyDescent="0.35">
      <c r="A47" t="s">
        <v>56</v>
      </c>
      <c r="B47" t="s">
        <v>26</v>
      </c>
      <c r="C47">
        <v>2794.4418300000002</v>
      </c>
      <c r="D47">
        <v>19.75424203</v>
      </c>
      <c r="E47">
        <v>-0.14302638300000001</v>
      </c>
      <c r="F47">
        <v>65.733047569623494</v>
      </c>
      <c r="G47">
        <v>-0.80000000000000437</v>
      </c>
    </row>
    <row r="48" spans="1:7" x14ac:dyDescent="0.35">
      <c r="A48" t="s">
        <v>57</v>
      </c>
      <c r="B48" t="s">
        <v>8</v>
      </c>
      <c r="C48">
        <v>299.73722170000002</v>
      </c>
      <c r="D48">
        <v>13.375258629999999</v>
      </c>
      <c r="E48">
        <v>0.98401503199999996</v>
      </c>
      <c r="F48">
        <v>1.3328486E-2</v>
      </c>
      <c r="G48">
        <v>-1.0303225778194181</v>
      </c>
    </row>
    <row r="49" spans="1:7" x14ac:dyDescent="0.35">
      <c r="A49" t="s">
        <v>58</v>
      </c>
      <c r="B49" t="s">
        <v>8</v>
      </c>
      <c r="C49">
        <v>43070.593399999998</v>
      </c>
      <c r="D49">
        <v>162.84233660000001</v>
      </c>
      <c r="E49">
        <v>0.64724230199999999</v>
      </c>
      <c r="F49">
        <v>6.8115643000000003E-2</v>
      </c>
      <c r="G49">
        <v>2.3731017151362721E-15</v>
      </c>
    </row>
    <row r="50" spans="1:7" x14ac:dyDescent="0.35">
      <c r="A50" t="s">
        <v>59</v>
      </c>
      <c r="B50" t="s">
        <v>8</v>
      </c>
      <c r="C50">
        <v>1.6969996549999999</v>
      </c>
      <c r="D50">
        <v>1.0201064660000001</v>
      </c>
      <c r="E50">
        <v>0.984937799</v>
      </c>
      <c r="F50">
        <v>7.231131E-3</v>
      </c>
      <c r="G50">
        <v>-0.99999999999999378</v>
      </c>
    </row>
    <row r="51" spans="1:7" x14ac:dyDescent="0.35">
      <c r="A51" t="s">
        <v>60</v>
      </c>
      <c r="B51" t="s">
        <v>26</v>
      </c>
      <c r="C51">
        <v>12796.88075</v>
      </c>
      <c r="D51">
        <v>51.272244389999997</v>
      </c>
      <c r="E51">
        <v>0.82487194500000005</v>
      </c>
      <c r="F51">
        <v>105.76311963458799</v>
      </c>
      <c r="G51">
        <v>-0.80000000000000016</v>
      </c>
    </row>
    <row r="52" spans="1:7" x14ac:dyDescent="0.35">
      <c r="A52" t="s">
        <v>61</v>
      </c>
      <c r="B52" t="s">
        <v>26</v>
      </c>
      <c r="C52">
        <v>309.65300450000001</v>
      </c>
      <c r="D52">
        <v>12.9528698</v>
      </c>
      <c r="E52">
        <v>0.99433494</v>
      </c>
      <c r="F52">
        <v>0.90282275781676802</v>
      </c>
      <c r="G52">
        <v>-0.99999999999999456</v>
      </c>
    </row>
    <row r="53" spans="1:7" x14ac:dyDescent="0.35">
      <c r="A53" t="s">
        <v>62</v>
      </c>
      <c r="B53" t="s">
        <v>10</v>
      </c>
      <c r="C53">
        <v>353.22285890000001</v>
      </c>
      <c r="D53">
        <v>9.2821387679999994</v>
      </c>
      <c r="E53">
        <v>-0.17424274100000001</v>
      </c>
      <c r="F53">
        <v>14.44117035</v>
      </c>
      <c r="G53">
        <v>-1.1114879091234411</v>
      </c>
    </row>
    <row r="54" spans="1:7" x14ac:dyDescent="0.35">
      <c r="A54" t="s">
        <v>63</v>
      </c>
      <c r="B54" t="s">
        <v>18</v>
      </c>
      <c r="C54">
        <v>12819.351790000001</v>
      </c>
      <c r="D54">
        <v>48.973749900000001</v>
      </c>
      <c r="E54">
        <v>0.92283657299999999</v>
      </c>
      <c r="F54">
        <v>2.0331360169289501</v>
      </c>
      <c r="G54">
        <v>-0.58025294631144975</v>
      </c>
    </row>
    <row r="55" spans="1:7" x14ac:dyDescent="0.35">
      <c r="A55" t="s">
        <v>64</v>
      </c>
      <c r="B55" t="s">
        <v>8</v>
      </c>
      <c r="C55">
        <v>30177.973720000002</v>
      </c>
      <c r="D55">
        <v>111.4223745</v>
      </c>
      <c r="E55">
        <v>0.99261071899999997</v>
      </c>
      <c r="F55">
        <v>3.9646320000000001E-3</v>
      </c>
      <c r="G55">
        <v>-1.1043879656652471</v>
      </c>
    </row>
    <row r="56" spans="1:7" x14ac:dyDescent="0.35">
      <c r="A56" t="s">
        <v>65</v>
      </c>
      <c r="B56" t="s">
        <v>8</v>
      </c>
      <c r="C56">
        <v>284.08357890000002</v>
      </c>
      <c r="D56">
        <v>12.71502443</v>
      </c>
      <c r="E56">
        <v>0.99170990999999997</v>
      </c>
      <c r="F56">
        <v>6.2729600000000002E-3</v>
      </c>
      <c r="G56">
        <v>-0.80181301022686458</v>
      </c>
    </row>
    <row r="57" spans="1:7" x14ac:dyDescent="0.35">
      <c r="A57" t="s">
        <v>66</v>
      </c>
      <c r="B57" t="s">
        <v>8</v>
      </c>
      <c r="C57">
        <v>56.733984700000001</v>
      </c>
      <c r="D57">
        <v>5.4595888419999996</v>
      </c>
      <c r="E57">
        <v>0.98832419299999996</v>
      </c>
      <c r="F57">
        <v>1.2161366E-2</v>
      </c>
      <c r="G57">
        <v>-1.0275181987435771</v>
      </c>
    </row>
    <row r="58" spans="1:7" x14ac:dyDescent="0.35">
      <c r="A58" t="s">
        <v>67</v>
      </c>
      <c r="B58" t="s">
        <v>18</v>
      </c>
      <c r="C58">
        <v>86.865406239999999</v>
      </c>
      <c r="D58">
        <v>8.6981875590000008</v>
      </c>
      <c r="E58">
        <v>-5.841521749</v>
      </c>
      <c r="F58">
        <v>25.781148922039701</v>
      </c>
      <c r="G58">
        <v>-2.6367796834847468E-16</v>
      </c>
    </row>
    <row r="59" spans="1:7" x14ac:dyDescent="0.35">
      <c r="A59" t="s">
        <v>68</v>
      </c>
      <c r="B59" t="s">
        <v>8</v>
      </c>
      <c r="C59">
        <v>1156245.4280000001</v>
      </c>
      <c r="D59">
        <v>650.04923380000002</v>
      </c>
      <c r="E59">
        <v>0.98987126800000003</v>
      </c>
      <c r="F59">
        <v>0.88171302600000001</v>
      </c>
      <c r="G59">
        <v>-0.71766918431804194</v>
      </c>
    </row>
    <row r="60" spans="1:7" x14ac:dyDescent="0.35">
      <c r="A60" t="s">
        <v>69</v>
      </c>
      <c r="B60" t="s">
        <v>10</v>
      </c>
      <c r="C60">
        <v>658.53304820000005</v>
      </c>
      <c r="D60">
        <v>15.67776907</v>
      </c>
      <c r="E60">
        <v>0.99362681799999997</v>
      </c>
      <c r="F60">
        <v>9.353676E-3</v>
      </c>
      <c r="G60">
        <v>-0.72998609458189501</v>
      </c>
    </row>
    <row r="61" spans="1:7" x14ac:dyDescent="0.35">
      <c r="A61" t="s">
        <v>70</v>
      </c>
      <c r="B61" t="s">
        <v>8</v>
      </c>
      <c r="C61">
        <v>0.938721947</v>
      </c>
      <c r="D61">
        <v>0.60677097800000002</v>
      </c>
      <c r="E61">
        <v>0.80343855600000003</v>
      </c>
      <c r="F61">
        <v>2.7712984E-2</v>
      </c>
      <c r="G61">
        <v>-0.95645085866948287</v>
      </c>
    </row>
    <row r="62" spans="1:7" x14ac:dyDescent="0.35">
      <c r="A62" t="s">
        <v>71</v>
      </c>
      <c r="B62" t="s">
        <v>8</v>
      </c>
      <c r="C62">
        <v>9.3547820739999992</v>
      </c>
      <c r="D62">
        <v>2.6172122899999999</v>
      </c>
      <c r="E62">
        <v>0.99733406800000002</v>
      </c>
      <c r="F62">
        <v>5.0667739999999996E-3</v>
      </c>
      <c r="G62">
        <v>-1.375774850937286</v>
      </c>
    </row>
    <row r="63" spans="1:7" x14ac:dyDescent="0.35">
      <c r="A63" t="s">
        <v>72</v>
      </c>
      <c r="B63" t="s">
        <v>8</v>
      </c>
      <c r="C63">
        <v>48823.401290000002</v>
      </c>
      <c r="D63">
        <v>147.50529299999999</v>
      </c>
      <c r="E63">
        <v>-24.54242034</v>
      </c>
      <c r="F63">
        <v>0.70576106999999999</v>
      </c>
      <c r="G63">
        <v>-1.024277427986553</v>
      </c>
    </row>
    <row r="64" spans="1:7" x14ac:dyDescent="0.35">
      <c r="A64" t="s">
        <v>73</v>
      </c>
      <c r="B64" t="s">
        <v>10</v>
      </c>
      <c r="C64">
        <v>89732.874370000005</v>
      </c>
      <c r="D64">
        <v>220.19707919999999</v>
      </c>
      <c r="E64">
        <v>0.997295971</v>
      </c>
      <c r="F64">
        <v>4.288076E-3</v>
      </c>
      <c r="G64">
        <v>-1.147800662637511</v>
      </c>
    </row>
    <row r="65" spans="1:7" x14ac:dyDescent="0.35">
      <c r="A65" t="s">
        <v>74</v>
      </c>
      <c r="B65" t="s">
        <v>8</v>
      </c>
      <c r="C65">
        <v>8.7691199260000001</v>
      </c>
      <c r="D65">
        <v>2.391099348</v>
      </c>
      <c r="E65">
        <v>0.97070139700000002</v>
      </c>
      <c r="F65">
        <v>1.7603305999999999E-2</v>
      </c>
      <c r="G65">
        <v>-0.99540382208701483</v>
      </c>
    </row>
    <row r="66" spans="1:7" x14ac:dyDescent="0.35">
      <c r="A66" t="s">
        <v>75</v>
      </c>
      <c r="B66" t="s">
        <v>8</v>
      </c>
      <c r="C66">
        <v>0.32405083400000001</v>
      </c>
      <c r="D66">
        <v>0.42083803400000003</v>
      </c>
      <c r="E66">
        <v>0.9873035</v>
      </c>
      <c r="F66">
        <v>1.5768343000000001E-2</v>
      </c>
      <c r="G66">
        <v>-1.0056419112852311</v>
      </c>
    </row>
    <row r="67" spans="1:7" x14ac:dyDescent="0.35">
      <c r="A67" t="s">
        <v>76</v>
      </c>
      <c r="B67" t="s">
        <v>8</v>
      </c>
      <c r="C67">
        <v>716.97165189999998</v>
      </c>
      <c r="D67">
        <v>22.40870009</v>
      </c>
      <c r="E67">
        <v>-170.55169029999999</v>
      </c>
      <c r="F67">
        <v>0.78275629400000002</v>
      </c>
      <c r="G67">
        <v>-0.91899146963384404</v>
      </c>
    </row>
    <row r="68" spans="1:7" x14ac:dyDescent="0.35">
      <c r="A68" t="s">
        <v>77</v>
      </c>
      <c r="B68" t="s">
        <v>26</v>
      </c>
      <c r="C68">
        <v>0.38390695699999999</v>
      </c>
      <c r="D68">
        <v>0.51813562099999999</v>
      </c>
      <c r="E68">
        <v>0.73322486899999995</v>
      </c>
      <c r="F68">
        <v>5.5340954059116498</v>
      </c>
      <c r="G68">
        <v>-0.50708048965516128</v>
      </c>
    </row>
    <row r="69" spans="1:7" x14ac:dyDescent="0.35">
      <c r="A69" t="s">
        <v>78</v>
      </c>
      <c r="B69" t="s">
        <v>10</v>
      </c>
      <c r="C69">
        <v>70.14398233</v>
      </c>
      <c r="D69">
        <v>6.7554867740000004</v>
      </c>
      <c r="E69">
        <v>0.98421667700000004</v>
      </c>
      <c r="F69">
        <v>4.6549419999999996E-3</v>
      </c>
      <c r="G69">
        <v>-1.2022777122111981</v>
      </c>
    </row>
    <row r="70" spans="1:7" x14ac:dyDescent="0.35">
      <c r="A70" t="s">
        <v>79</v>
      </c>
      <c r="B70" t="s">
        <v>8</v>
      </c>
      <c r="C70">
        <v>23.157526900000001</v>
      </c>
      <c r="D70">
        <v>3.7864527630000002</v>
      </c>
      <c r="E70">
        <v>0.91015452500000005</v>
      </c>
      <c r="F70">
        <v>1.1042774E-2</v>
      </c>
      <c r="G70">
        <v>-0.62648778154240414</v>
      </c>
    </row>
    <row r="71" spans="1:7" x14ac:dyDescent="0.35">
      <c r="A71" t="s">
        <v>80</v>
      </c>
      <c r="B71" t="s">
        <v>10</v>
      </c>
      <c r="C71">
        <v>15.87270929</v>
      </c>
      <c r="D71">
        <v>2.2000353600000002</v>
      </c>
      <c r="E71">
        <v>0.98617591000000004</v>
      </c>
      <c r="F71">
        <v>2.9093349999999999E-3</v>
      </c>
      <c r="G71">
        <v>-1</v>
      </c>
    </row>
    <row r="72" spans="1:7" x14ac:dyDescent="0.35">
      <c r="A72" t="s">
        <v>81</v>
      </c>
      <c r="B72" t="s">
        <v>18</v>
      </c>
      <c r="C72">
        <v>260.16610689999999</v>
      </c>
      <c r="D72">
        <v>15.032516080000001</v>
      </c>
      <c r="E72">
        <v>-146.60514209999999</v>
      </c>
      <c r="F72">
        <v>531.15960633500401</v>
      </c>
      <c r="G72">
        <v>-0.59047581866967669</v>
      </c>
    </row>
    <row r="73" spans="1:7" x14ac:dyDescent="0.35">
      <c r="A73" t="s">
        <v>82</v>
      </c>
      <c r="B73" t="s">
        <v>26</v>
      </c>
      <c r="C73">
        <v>0.17048828299999999</v>
      </c>
      <c r="D73">
        <v>0.378328679</v>
      </c>
      <c r="E73">
        <v>-0.660277365</v>
      </c>
      <c r="F73">
        <v>60.194840975652603</v>
      </c>
      <c r="G73">
        <v>-0.56327378585220633</v>
      </c>
    </row>
    <row r="74" spans="1:7" x14ac:dyDescent="0.35">
      <c r="A74" t="s">
        <v>83</v>
      </c>
      <c r="B74" t="s">
        <v>26</v>
      </c>
      <c r="C74">
        <v>35.25812689</v>
      </c>
      <c r="D74">
        <v>4.6928746400000003</v>
      </c>
      <c r="E74">
        <v>0.53371575100000002</v>
      </c>
      <c r="F74">
        <v>38.578509849189999</v>
      </c>
      <c r="G74">
        <v>-0.99999999999999956</v>
      </c>
    </row>
    <row r="75" spans="1:7" x14ac:dyDescent="0.35">
      <c r="A75" t="s">
        <v>84</v>
      </c>
      <c r="B75" t="s">
        <v>8</v>
      </c>
      <c r="C75">
        <v>268136.8798</v>
      </c>
      <c r="D75">
        <v>456.10536089999999</v>
      </c>
      <c r="E75">
        <v>0.95975441500000003</v>
      </c>
      <c r="F75">
        <v>1.3948294E-2</v>
      </c>
      <c r="G75">
        <v>-1.014973466669514</v>
      </c>
    </row>
    <row r="76" spans="1:7" x14ac:dyDescent="0.35">
      <c r="A76" t="s">
        <v>85</v>
      </c>
      <c r="B76" t="s">
        <v>10</v>
      </c>
      <c r="C76">
        <v>74.942391000000001</v>
      </c>
      <c r="D76">
        <v>6.3818521190000004</v>
      </c>
      <c r="E76">
        <v>0.99181281899999996</v>
      </c>
      <c r="F76">
        <v>1.2110114999999999E-2</v>
      </c>
      <c r="G76">
        <v>-1.395329205091838</v>
      </c>
    </row>
    <row r="77" spans="1:7" x14ac:dyDescent="0.35">
      <c r="A77" t="s">
        <v>86</v>
      </c>
      <c r="B77" t="s">
        <v>18</v>
      </c>
      <c r="C77">
        <v>6.7108301619999997</v>
      </c>
      <c r="D77">
        <v>1.846931734</v>
      </c>
      <c r="E77">
        <v>0.51734466700000004</v>
      </c>
      <c r="F77">
        <v>14.5345370895614</v>
      </c>
      <c r="G77">
        <v>-1</v>
      </c>
    </row>
    <row r="78" spans="1:7" x14ac:dyDescent="0.35">
      <c r="A78" t="s">
        <v>87</v>
      </c>
      <c r="B78" t="s">
        <v>10</v>
      </c>
      <c r="C78">
        <v>3241.67409</v>
      </c>
      <c r="D78">
        <v>45.065584790000003</v>
      </c>
      <c r="E78">
        <v>0.99362894899999998</v>
      </c>
      <c r="F78">
        <v>1.0839486000000001E-2</v>
      </c>
      <c r="G78">
        <v>-0.79999999999999383</v>
      </c>
    </row>
    <row r="79" spans="1:7" x14ac:dyDescent="0.35">
      <c r="A79" t="s">
        <v>88</v>
      </c>
      <c r="B79" t="s">
        <v>18</v>
      </c>
      <c r="C79">
        <v>89.441136729999997</v>
      </c>
      <c r="D79">
        <v>2.450495986</v>
      </c>
      <c r="E79">
        <v>0.523565485</v>
      </c>
      <c r="F79">
        <v>39.7866703882232</v>
      </c>
      <c r="G79">
        <v>-0.99999999999999711</v>
      </c>
    </row>
    <row r="80" spans="1:7" x14ac:dyDescent="0.35">
      <c r="A80" t="s">
        <v>89</v>
      </c>
      <c r="B80" t="s">
        <v>10</v>
      </c>
      <c r="C80">
        <v>4937.3895739999998</v>
      </c>
      <c r="D80">
        <v>60.755065549999998</v>
      </c>
      <c r="E80">
        <v>0.73699954300000003</v>
      </c>
      <c r="F80">
        <v>4.1763263000000002E-2</v>
      </c>
      <c r="G80">
        <v>-1.4504306699639109</v>
      </c>
    </row>
    <row r="81" spans="1:7" x14ac:dyDescent="0.35">
      <c r="A81" t="s">
        <v>90</v>
      </c>
      <c r="B81" t="s">
        <v>8</v>
      </c>
      <c r="C81">
        <v>0.96822213999999995</v>
      </c>
      <c r="D81">
        <v>0.74783899899999995</v>
      </c>
      <c r="E81">
        <v>0.98238994000000002</v>
      </c>
      <c r="F81">
        <v>8.38064E-3</v>
      </c>
      <c r="G81">
        <v>-0.99999999999999756</v>
      </c>
    </row>
    <row r="82" spans="1:7" x14ac:dyDescent="0.35">
      <c r="A82" t="s">
        <v>91</v>
      </c>
      <c r="B82" t="s">
        <v>8</v>
      </c>
      <c r="C82">
        <v>732.53775340000004</v>
      </c>
      <c r="D82">
        <v>21.150775110000001</v>
      </c>
      <c r="E82">
        <v>0.99314439600000004</v>
      </c>
      <c r="F82">
        <v>1.0038916E-2</v>
      </c>
      <c r="G82">
        <v>-1.018393417372504</v>
      </c>
    </row>
    <row r="83" spans="1:7" x14ac:dyDescent="0.35">
      <c r="A83" t="s">
        <v>92</v>
      </c>
      <c r="B83" t="s">
        <v>8</v>
      </c>
      <c r="C83">
        <v>1.4642317140000001</v>
      </c>
      <c r="D83">
        <v>0.88120184899999998</v>
      </c>
      <c r="E83">
        <v>0.99363466099999997</v>
      </c>
      <c r="F83">
        <v>4.3505870000000004E-3</v>
      </c>
      <c r="G83">
        <v>-1.155626714706609</v>
      </c>
    </row>
    <row r="84" spans="1:7" x14ac:dyDescent="0.35">
      <c r="A84" t="s">
        <v>93</v>
      </c>
      <c r="B84" t="s">
        <v>8</v>
      </c>
      <c r="C84">
        <v>856.48940630000004</v>
      </c>
      <c r="D84">
        <v>18.724842249999998</v>
      </c>
      <c r="E84">
        <v>0.98791835400000005</v>
      </c>
      <c r="F84">
        <v>1.1757319E-2</v>
      </c>
      <c r="G84">
        <v>-0.76899462209459502</v>
      </c>
    </row>
    <row r="85" spans="1:7" x14ac:dyDescent="0.35">
      <c r="A85" t="s">
        <v>94</v>
      </c>
      <c r="B85" t="s">
        <v>8</v>
      </c>
      <c r="C85">
        <v>2.3182296789999999</v>
      </c>
      <c r="D85">
        <v>1.102667828</v>
      </c>
      <c r="E85">
        <v>0.99727801299999996</v>
      </c>
      <c r="F85">
        <v>4.0164210000000001E-3</v>
      </c>
      <c r="G85">
        <v>-1.0000000000000011</v>
      </c>
    </row>
    <row r="86" spans="1:7" x14ac:dyDescent="0.35">
      <c r="A86" t="s">
        <v>95</v>
      </c>
      <c r="B86" t="s">
        <v>10</v>
      </c>
      <c r="C86">
        <v>46036955.590000004</v>
      </c>
      <c r="D86">
        <v>4848.4962649999998</v>
      </c>
      <c r="E86">
        <v>0.34957789</v>
      </c>
      <c r="F86">
        <v>0.121750762</v>
      </c>
      <c r="G86">
        <v>-1.1493827122435609</v>
      </c>
    </row>
    <row r="87" spans="1:7" x14ac:dyDescent="0.35">
      <c r="A87" t="s">
        <v>96</v>
      </c>
      <c r="B87" t="s">
        <v>8</v>
      </c>
      <c r="C87">
        <v>38.573870120000002</v>
      </c>
      <c r="D87">
        <v>3.8702812799999999</v>
      </c>
      <c r="E87">
        <v>-15.6302383</v>
      </c>
      <c r="F87">
        <v>6.7449960579999999</v>
      </c>
      <c r="G87">
        <v>-1.0823140730256009</v>
      </c>
    </row>
    <row r="88" spans="1:7" x14ac:dyDescent="0.35">
      <c r="A88" t="s">
        <v>97</v>
      </c>
      <c r="B88" t="s">
        <v>8</v>
      </c>
      <c r="C88">
        <v>1.1273996820000001</v>
      </c>
      <c r="D88">
        <v>0.84156117500000005</v>
      </c>
      <c r="E88">
        <v>0.98026324300000001</v>
      </c>
      <c r="F88">
        <v>9.6253439999999992E-3</v>
      </c>
      <c r="G88">
        <v>-0.99999999999999989</v>
      </c>
    </row>
    <row r="89" spans="1:7" x14ac:dyDescent="0.35">
      <c r="A89" t="s">
        <v>98</v>
      </c>
      <c r="B89" t="s">
        <v>18</v>
      </c>
      <c r="C89">
        <v>3.0436365999999999E-2</v>
      </c>
      <c r="D89">
        <v>0.134735033</v>
      </c>
      <c r="E89">
        <v>0.90624834499999996</v>
      </c>
      <c r="F89">
        <v>1.91016441502297</v>
      </c>
      <c r="G89">
        <v>-0.44530748481195859</v>
      </c>
    </row>
    <row r="90" spans="1:7" x14ac:dyDescent="0.35">
      <c r="A90" t="s">
        <v>99</v>
      </c>
      <c r="B90" t="s">
        <v>8</v>
      </c>
      <c r="C90">
        <v>439.73559990000001</v>
      </c>
      <c r="D90">
        <v>15.29697475</v>
      </c>
      <c r="E90">
        <v>0.97351597999999995</v>
      </c>
      <c r="F90">
        <v>8.43789E-3</v>
      </c>
      <c r="G90">
        <v>-1.0628096834646781</v>
      </c>
    </row>
    <row r="91" spans="1:7" x14ac:dyDescent="0.35">
      <c r="A91" t="s">
        <v>100</v>
      </c>
      <c r="B91" t="s">
        <v>8</v>
      </c>
      <c r="C91">
        <v>207497.91279999999</v>
      </c>
      <c r="D91">
        <v>367.37796020000002</v>
      </c>
      <c r="E91">
        <v>0.97389444199999997</v>
      </c>
      <c r="F91">
        <v>1.2229139E-2</v>
      </c>
      <c r="G91">
        <v>-1</v>
      </c>
    </row>
    <row r="92" spans="1:7" x14ac:dyDescent="0.35">
      <c r="A92" t="s">
        <v>101</v>
      </c>
      <c r="B92" t="s">
        <v>26</v>
      </c>
      <c r="C92">
        <v>1.3373773609999999</v>
      </c>
      <c r="D92">
        <v>0.95642061199999995</v>
      </c>
      <c r="E92">
        <v>-3.5926997300000001</v>
      </c>
      <c r="F92">
        <v>36.328486296178603</v>
      </c>
      <c r="G92">
        <v>-1.000000000000002</v>
      </c>
    </row>
    <row r="93" spans="1:7" x14ac:dyDescent="0.35">
      <c r="A93" t="s">
        <v>102</v>
      </c>
      <c r="B93" t="s">
        <v>8</v>
      </c>
      <c r="C93">
        <v>19145.30285</v>
      </c>
      <c r="D93">
        <v>98.17923528</v>
      </c>
      <c r="E93">
        <v>0.99229183700000001</v>
      </c>
      <c r="F93">
        <v>9.4600780000000002E-3</v>
      </c>
      <c r="G93">
        <v>-0.99999999999999523</v>
      </c>
    </row>
    <row r="94" spans="1:7" x14ac:dyDescent="0.35">
      <c r="A94" t="s">
        <v>103</v>
      </c>
      <c r="B94" t="s">
        <v>8</v>
      </c>
      <c r="C94">
        <v>0.67087587800000004</v>
      </c>
      <c r="D94">
        <v>0.67282254500000005</v>
      </c>
      <c r="E94">
        <v>0.82045627200000004</v>
      </c>
      <c r="F94">
        <v>1.8590575000000002E-2</v>
      </c>
      <c r="G94">
        <v>-1</v>
      </c>
    </row>
    <row r="95" spans="1:7" x14ac:dyDescent="0.35">
      <c r="A95" t="s">
        <v>104</v>
      </c>
      <c r="B95" t="s">
        <v>8</v>
      </c>
      <c r="C95">
        <v>681218.58429999999</v>
      </c>
      <c r="D95">
        <v>522.98457350000001</v>
      </c>
      <c r="E95">
        <v>0.88181512100000004</v>
      </c>
      <c r="F95">
        <v>3.2138626000000003E-2</v>
      </c>
      <c r="G95">
        <v>-1.0000000000000011</v>
      </c>
    </row>
    <row r="96" spans="1:7" x14ac:dyDescent="0.35">
      <c r="A96" t="s">
        <v>105</v>
      </c>
      <c r="B96" t="s">
        <v>8</v>
      </c>
      <c r="C96">
        <v>299.06174929999997</v>
      </c>
      <c r="D96">
        <v>11.313356860000001</v>
      </c>
      <c r="E96">
        <v>0.99741746799999997</v>
      </c>
      <c r="F96">
        <v>5.0226539999999997E-3</v>
      </c>
      <c r="G96">
        <v>-0.95735328959468469</v>
      </c>
    </row>
    <row r="97" spans="1:7" x14ac:dyDescent="0.35">
      <c r="A97" t="s">
        <v>106</v>
      </c>
      <c r="B97" t="s">
        <v>8</v>
      </c>
      <c r="C97">
        <v>5.769896621</v>
      </c>
      <c r="D97">
        <v>1.899704608</v>
      </c>
      <c r="E97">
        <v>0.99004598700000002</v>
      </c>
      <c r="F97">
        <v>4.9479839999999999E-3</v>
      </c>
      <c r="G97">
        <v>-0.94060478818373927</v>
      </c>
    </row>
    <row r="98" spans="1:7" x14ac:dyDescent="0.35">
      <c r="A98" t="s">
        <v>107</v>
      </c>
      <c r="B98" t="s">
        <v>8</v>
      </c>
      <c r="C98">
        <v>410.93697029999998</v>
      </c>
      <c r="D98">
        <v>12.738730670000001</v>
      </c>
      <c r="E98">
        <v>0.96092822300000003</v>
      </c>
      <c r="F98">
        <v>1.9792292999999999E-2</v>
      </c>
      <c r="G98">
        <v>-1.071609848512086</v>
      </c>
    </row>
    <row r="99" spans="1:7" x14ac:dyDescent="0.35">
      <c r="A99" t="s">
        <v>108</v>
      </c>
      <c r="B99" t="s">
        <v>18</v>
      </c>
      <c r="C99">
        <v>1737.7715720000001</v>
      </c>
      <c r="D99">
        <v>37.915450710000002</v>
      </c>
      <c r="E99">
        <v>-8.4196409209999992</v>
      </c>
      <c r="F99">
        <v>970.25410221403297</v>
      </c>
      <c r="G99">
        <v>-0.8000000000000026</v>
      </c>
    </row>
    <row r="100" spans="1:7" x14ac:dyDescent="0.35">
      <c r="A100" t="s">
        <v>109</v>
      </c>
      <c r="B100" t="s">
        <v>18</v>
      </c>
      <c r="C100">
        <v>73.620566490000002</v>
      </c>
      <c r="D100">
        <v>2.483885849</v>
      </c>
      <c r="E100">
        <v>-4.4849751E-2</v>
      </c>
      <c r="F100">
        <v>-35.986121106405299</v>
      </c>
      <c r="G100">
        <v>-0.19999999998377371</v>
      </c>
    </row>
    <row r="101" spans="1:7" x14ac:dyDescent="0.35">
      <c r="A101" t="s">
        <v>110</v>
      </c>
      <c r="B101" t="s">
        <v>18</v>
      </c>
      <c r="C101">
        <v>26124.755519999999</v>
      </c>
      <c r="D101">
        <v>128.5527573</v>
      </c>
      <c r="E101">
        <v>0.35256827299999999</v>
      </c>
      <c r="F101">
        <v>7.8275428585414</v>
      </c>
      <c r="G101">
        <v>-1</v>
      </c>
    </row>
    <row r="102" spans="1:7" x14ac:dyDescent="0.35">
      <c r="A102" t="s">
        <v>111</v>
      </c>
      <c r="B102" t="s">
        <v>8</v>
      </c>
      <c r="C102">
        <v>221.47284859999999</v>
      </c>
      <c r="D102">
        <v>9.3324115869999993</v>
      </c>
      <c r="E102">
        <v>0.95338239000000002</v>
      </c>
      <c r="F102">
        <v>8.0897539999999993E-3</v>
      </c>
      <c r="G102">
        <v>-1</v>
      </c>
    </row>
    <row r="103" spans="1:7" x14ac:dyDescent="0.35">
      <c r="A103" t="s">
        <v>112</v>
      </c>
      <c r="B103" t="s">
        <v>8</v>
      </c>
      <c r="C103">
        <v>2963.1091489999999</v>
      </c>
      <c r="D103">
        <v>37.090266499999998</v>
      </c>
      <c r="E103">
        <v>0.99863536600000002</v>
      </c>
      <c r="F103">
        <v>4.3670569999999997E-3</v>
      </c>
      <c r="G103">
        <v>-0.99999999999999956</v>
      </c>
    </row>
    <row r="104" spans="1:7" x14ac:dyDescent="0.35">
      <c r="A104" t="s">
        <v>113</v>
      </c>
      <c r="B104" t="s">
        <v>18</v>
      </c>
      <c r="C104">
        <v>680351.89210000006</v>
      </c>
      <c r="D104">
        <v>671.52397440000004</v>
      </c>
      <c r="E104">
        <v>-2.2937291599999998</v>
      </c>
      <c r="F104">
        <v>324.22678335355698</v>
      </c>
      <c r="G104">
        <v>-0.99999999999999944</v>
      </c>
    </row>
    <row r="105" spans="1:7" x14ac:dyDescent="0.35">
      <c r="A105" t="s">
        <v>114</v>
      </c>
      <c r="B105" t="s">
        <v>8</v>
      </c>
      <c r="C105">
        <v>60578.86735</v>
      </c>
      <c r="D105">
        <v>192.05741330000001</v>
      </c>
      <c r="E105">
        <v>0.99758973399999995</v>
      </c>
      <c r="F105">
        <v>5.5076150000000004E-3</v>
      </c>
      <c r="G105">
        <v>-1.0000000000000011</v>
      </c>
    </row>
    <row r="106" spans="1:7" x14ac:dyDescent="0.35">
      <c r="A106" t="s">
        <v>115</v>
      </c>
      <c r="B106" t="s">
        <v>8</v>
      </c>
      <c r="C106">
        <v>689545.87459999998</v>
      </c>
      <c r="D106">
        <v>631.37289299999998</v>
      </c>
      <c r="E106">
        <v>-0.10799412</v>
      </c>
      <c r="F106">
        <v>0.189355882</v>
      </c>
      <c r="G106">
        <v>-1.0000000000000011</v>
      </c>
    </row>
    <row r="107" spans="1:7" x14ac:dyDescent="0.35">
      <c r="A107" t="s">
        <v>116</v>
      </c>
      <c r="B107" t="s">
        <v>18</v>
      </c>
      <c r="C107">
        <v>8.0511174539999999</v>
      </c>
      <c r="D107">
        <v>1.3776407850000001</v>
      </c>
      <c r="E107">
        <v>6.3088953000000003E-2</v>
      </c>
      <c r="F107">
        <v>17.078490897154602</v>
      </c>
      <c r="G107">
        <v>-0.36188390402265819</v>
      </c>
    </row>
    <row r="108" spans="1:7" x14ac:dyDescent="0.35">
      <c r="A108" t="s">
        <v>117</v>
      </c>
      <c r="B108" t="s">
        <v>18</v>
      </c>
      <c r="C108">
        <v>338358.93349999998</v>
      </c>
      <c r="D108">
        <v>503.6547511</v>
      </c>
      <c r="E108">
        <v>-15.81538866</v>
      </c>
      <c r="F108">
        <v>4333.2942932147498</v>
      </c>
      <c r="G108">
        <v>-1</v>
      </c>
    </row>
    <row r="109" spans="1:7" x14ac:dyDescent="0.35">
      <c r="A109" t="s">
        <v>118</v>
      </c>
      <c r="B109" t="s">
        <v>18</v>
      </c>
      <c r="C109">
        <v>22124.810949999999</v>
      </c>
      <c r="D109">
        <v>120.180077</v>
      </c>
      <c r="E109">
        <v>-50.54180495</v>
      </c>
      <c r="F109">
        <v>1976.50871417644</v>
      </c>
      <c r="G109">
        <v>-1</v>
      </c>
    </row>
    <row r="110" spans="1:7" x14ac:dyDescent="0.35">
      <c r="A110" t="s">
        <v>119</v>
      </c>
      <c r="B110" t="s">
        <v>18</v>
      </c>
      <c r="C110">
        <v>6682.2928199999997</v>
      </c>
      <c r="D110">
        <v>54.872476349999999</v>
      </c>
      <c r="E110">
        <v>-0.48801684000000001</v>
      </c>
      <c r="F110">
        <v>1916.51057024845</v>
      </c>
      <c r="G110">
        <v>-0.99999999999999956</v>
      </c>
    </row>
    <row r="111" spans="1:7" x14ac:dyDescent="0.35">
      <c r="A111" t="s">
        <v>120</v>
      </c>
      <c r="B111" t="s">
        <v>18</v>
      </c>
      <c r="C111">
        <v>4.6045088999999997E-2</v>
      </c>
      <c r="D111">
        <v>0.200546475</v>
      </c>
      <c r="E111">
        <v>-19.47562413</v>
      </c>
      <c r="F111">
        <v>40.4077731229035</v>
      </c>
      <c r="G111">
        <v>-0.66590113859854994</v>
      </c>
    </row>
    <row r="112" spans="1:7" x14ac:dyDescent="0.35">
      <c r="A112" t="s">
        <v>121</v>
      </c>
      <c r="B112" t="s">
        <v>18</v>
      </c>
      <c r="C112">
        <v>86.203451389999998</v>
      </c>
      <c r="D112">
        <v>4.1791445500000002</v>
      </c>
      <c r="E112">
        <v>0.64746972700000005</v>
      </c>
      <c r="F112">
        <v>466.17227883946401</v>
      </c>
      <c r="G112">
        <v>-0.99999999999999956</v>
      </c>
    </row>
    <row r="113" spans="1:7" x14ac:dyDescent="0.35">
      <c r="A113" t="s">
        <v>122</v>
      </c>
      <c r="B113" t="s">
        <v>10</v>
      </c>
      <c r="C113">
        <v>825.62296189999995</v>
      </c>
      <c r="D113">
        <v>22.662890640000001</v>
      </c>
      <c r="E113">
        <v>0.97811390799999998</v>
      </c>
      <c r="F113">
        <v>1.1120751999999999E-2</v>
      </c>
      <c r="G113">
        <v>-0.99999999999998956</v>
      </c>
    </row>
    <row r="114" spans="1:7" x14ac:dyDescent="0.35">
      <c r="A114" t="s">
        <v>123</v>
      </c>
      <c r="B114" t="s">
        <v>8</v>
      </c>
      <c r="C114">
        <v>974.12748799999997</v>
      </c>
      <c r="D114">
        <v>18.458476149999999</v>
      </c>
      <c r="E114">
        <v>0.98803958800000002</v>
      </c>
      <c r="F114">
        <v>0.27041754400000001</v>
      </c>
      <c r="G114">
        <v>-1</v>
      </c>
    </row>
    <row r="115" spans="1:7" x14ac:dyDescent="0.35">
      <c r="A115" t="s">
        <v>124</v>
      </c>
      <c r="B115" t="s">
        <v>8</v>
      </c>
      <c r="C115">
        <v>2195.6621319999999</v>
      </c>
      <c r="D115">
        <v>23.194589619999999</v>
      </c>
      <c r="E115">
        <v>0.99061243700000001</v>
      </c>
      <c r="F115">
        <v>7.8973940000000003E-3</v>
      </c>
      <c r="G115">
        <v>-1.216752164224957</v>
      </c>
    </row>
    <row r="116" spans="1:7" x14ac:dyDescent="0.35">
      <c r="A116" t="s">
        <v>125</v>
      </c>
      <c r="B116" t="s">
        <v>10</v>
      </c>
      <c r="C116">
        <v>1034.098587</v>
      </c>
      <c r="D116">
        <v>25.451970320000001</v>
      </c>
      <c r="E116">
        <v>0.985486694</v>
      </c>
      <c r="F116">
        <v>6.3772120000000002E-3</v>
      </c>
      <c r="G116">
        <v>-1.009161090438295</v>
      </c>
    </row>
    <row r="117" spans="1:7" x14ac:dyDescent="0.35">
      <c r="A117" t="s">
        <v>126</v>
      </c>
      <c r="B117" t="s">
        <v>26</v>
      </c>
      <c r="C117">
        <v>200589182</v>
      </c>
      <c r="D117">
        <v>6208.5134850000004</v>
      </c>
      <c r="E117">
        <v>-0.23784755799999999</v>
      </c>
      <c r="F117">
        <v>22.562569489295399</v>
      </c>
      <c r="G117">
        <v>-1</v>
      </c>
    </row>
    <row r="118" spans="1:7" x14ac:dyDescent="0.35">
      <c r="A118" t="s">
        <v>127</v>
      </c>
      <c r="B118" t="s">
        <v>26</v>
      </c>
      <c r="C118">
        <v>3175312787</v>
      </c>
      <c r="D118">
        <v>34394.427750000003</v>
      </c>
      <c r="E118">
        <v>-0.58463809600000005</v>
      </c>
      <c r="F118">
        <v>46.515810409463199</v>
      </c>
      <c r="G118">
        <v>-1.0000000000000011</v>
      </c>
    </row>
    <row r="119" spans="1:7" x14ac:dyDescent="0.35">
      <c r="A119" t="s">
        <v>128</v>
      </c>
      <c r="B119" t="s">
        <v>10</v>
      </c>
      <c r="C119">
        <v>86747.680049999995</v>
      </c>
      <c r="D119">
        <v>237.87446439999999</v>
      </c>
      <c r="E119">
        <v>0.99399780699999996</v>
      </c>
      <c r="F119">
        <v>6.1698910000000003E-3</v>
      </c>
      <c r="G119">
        <v>-0.99999999999999933</v>
      </c>
    </row>
    <row r="120" spans="1:7" x14ac:dyDescent="0.35">
      <c r="A120" t="s">
        <v>129</v>
      </c>
      <c r="B120" t="s">
        <v>10</v>
      </c>
      <c r="C120">
        <v>13182.001539999999</v>
      </c>
      <c r="D120">
        <v>86.861086400000005</v>
      </c>
      <c r="E120">
        <v>-0.463320391</v>
      </c>
      <c r="F120">
        <v>3.7444520000000002E-2</v>
      </c>
      <c r="G120">
        <v>-1.031514404718346</v>
      </c>
    </row>
    <row r="121" spans="1:7" x14ac:dyDescent="0.35">
      <c r="A121" t="s">
        <v>130</v>
      </c>
      <c r="B121" t="s">
        <v>8</v>
      </c>
      <c r="C121">
        <v>28582.513660000001</v>
      </c>
      <c r="D121">
        <v>122.5211192</v>
      </c>
      <c r="E121">
        <v>0.99022944000000002</v>
      </c>
      <c r="F121">
        <v>6.5200529999999996E-3</v>
      </c>
      <c r="G121">
        <v>-1.1495252046851281</v>
      </c>
    </row>
    <row r="122" spans="1:7" x14ac:dyDescent="0.35">
      <c r="A122" t="s">
        <v>131</v>
      </c>
      <c r="B122" t="s">
        <v>8</v>
      </c>
      <c r="C122">
        <v>54643.417829999999</v>
      </c>
      <c r="D122">
        <v>182.28376929999999</v>
      </c>
      <c r="E122">
        <v>0.99702649099999996</v>
      </c>
      <c r="F122">
        <v>3.204532E-3</v>
      </c>
      <c r="G122">
        <v>-1.117614920493587</v>
      </c>
    </row>
    <row r="123" spans="1:7" x14ac:dyDescent="0.35">
      <c r="A123" t="s">
        <v>132</v>
      </c>
      <c r="B123" t="s">
        <v>10</v>
      </c>
      <c r="C123">
        <v>1270092.017</v>
      </c>
      <c r="D123">
        <v>402.85939159999998</v>
      </c>
      <c r="E123">
        <v>0.64277462100000005</v>
      </c>
      <c r="F123">
        <v>1.1705764E-2</v>
      </c>
      <c r="G123">
        <v>-1.0357978754306589</v>
      </c>
    </row>
    <row r="124" spans="1:7" x14ac:dyDescent="0.35">
      <c r="A124" t="s">
        <v>133</v>
      </c>
      <c r="B124" t="s">
        <v>8</v>
      </c>
      <c r="C124">
        <v>1320.5984020000001</v>
      </c>
      <c r="D124">
        <v>25.044113939999999</v>
      </c>
      <c r="E124">
        <v>0.99728331999999997</v>
      </c>
      <c r="F124">
        <v>5.3787080000000003E-3</v>
      </c>
      <c r="G124">
        <v>-1.1138370918119509</v>
      </c>
    </row>
    <row r="125" spans="1:7" x14ac:dyDescent="0.35">
      <c r="A125" t="s">
        <v>134</v>
      </c>
      <c r="B125" t="s">
        <v>26</v>
      </c>
      <c r="C125">
        <v>49.001658919999997</v>
      </c>
      <c r="D125">
        <v>5.4610010649999996</v>
      </c>
      <c r="E125">
        <v>0.97798200099999999</v>
      </c>
      <c r="F125">
        <v>1.4993080789567099</v>
      </c>
      <c r="G125">
        <v>-0.99999999999999922</v>
      </c>
    </row>
    <row r="126" spans="1:7" x14ac:dyDescent="0.35">
      <c r="A126" t="s">
        <v>135</v>
      </c>
      <c r="B126" t="s">
        <v>10</v>
      </c>
      <c r="C126">
        <v>689.89471100000003</v>
      </c>
      <c r="D126">
        <v>21.06203751</v>
      </c>
      <c r="E126">
        <v>0.99587975900000003</v>
      </c>
      <c r="F126">
        <v>8.381945E-3</v>
      </c>
      <c r="G126">
        <v>-1.0000000000000011</v>
      </c>
    </row>
    <row r="127" spans="1:7" x14ac:dyDescent="0.35">
      <c r="A127" t="s">
        <v>136</v>
      </c>
      <c r="B127" t="s">
        <v>26</v>
      </c>
      <c r="C127">
        <v>308864.0527</v>
      </c>
      <c r="D127">
        <v>426.77935550000001</v>
      </c>
      <c r="E127">
        <v>0.96399480500000001</v>
      </c>
      <c r="F127">
        <v>1.0290060951553199</v>
      </c>
      <c r="G127">
        <v>-1</v>
      </c>
    </row>
    <row r="128" spans="1:7" x14ac:dyDescent="0.35">
      <c r="A128" t="s">
        <v>137</v>
      </c>
      <c r="B128" t="s">
        <v>8</v>
      </c>
      <c r="C128">
        <v>6570.3255499999996</v>
      </c>
      <c r="D128">
        <v>43.775054760000003</v>
      </c>
      <c r="E128">
        <v>0.96622678399999995</v>
      </c>
      <c r="F128">
        <v>6.33214E-3</v>
      </c>
      <c r="G128">
        <v>-0.93134241484415459</v>
      </c>
    </row>
    <row r="129" spans="1:7" x14ac:dyDescent="0.35">
      <c r="A129" t="s">
        <v>138</v>
      </c>
      <c r="B129" t="s">
        <v>10</v>
      </c>
      <c r="C129">
        <v>1.0419980980000001</v>
      </c>
      <c r="D129">
        <v>0.79049560399999996</v>
      </c>
      <c r="E129">
        <v>0.99295483500000004</v>
      </c>
      <c r="F129">
        <v>8.7016420000000008E-3</v>
      </c>
      <c r="G129">
        <v>-1.185742521954305</v>
      </c>
    </row>
    <row r="130" spans="1:7" x14ac:dyDescent="0.35">
      <c r="A130" t="s">
        <v>139</v>
      </c>
      <c r="B130" t="s">
        <v>10</v>
      </c>
      <c r="C130">
        <v>41153.998760000002</v>
      </c>
      <c r="D130">
        <v>163.43161939999999</v>
      </c>
      <c r="E130">
        <v>0.96412346299999996</v>
      </c>
      <c r="F130">
        <v>1.3680576999999999E-2</v>
      </c>
      <c r="G130">
        <v>-1</v>
      </c>
    </row>
    <row r="131" spans="1:7" x14ac:dyDescent="0.35">
      <c r="A131" t="s">
        <v>140</v>
      </c>
      <c r="B131" t="s">
        <v>8</v>
      </c>
      <c r="C131">
        <v>39.857542819999999</v>
      </c>
      <c r="D131">
        <v>4.7105735519999996</v>
      </c>
      <c r="E131">
        <v>0.994620171</v>
      </c>
      <c r="F131">
        <v>3.453547E-3</v>
      </c>
      <c r="G131">
        <v>-0.88947671604153133</v>
      </c>
    </row>
    <row r="132" spans="1:7" x14ac:dyDescent="0.35">
      <c r="A132" t="s">
        <v>141</v>
      </c>
      <c r="B132" t="s">
        <v>10</v>
      </c>
      <c r="C132">
        <v>2311.9865500000001</v>
      </c>
      <c r="D132">
        <v>36.423494920000003</v>
      </c>
      <c r="E132">
        <v>0.99860138399999998</v>
      </c>
      <c r="F132">
        <v>3.891402E-3</v>
      </c>
      <c r="G132">
        <v>-1.123119646372253</v>
      </c>
    </row>
    <row r="133" spans="1:7" x14ac:dyDescent="0.35">
      <c r="A133" t="s">
        <v>142</v>
      </c>
      <c r="B133" t="s">
        <v>18</v>
      </c>
      <c r="C133">
        <v>5016.8007980000002</v>
      </c>
      <c r="D133">
        <v>40.75498296</v>
      </c>
      <c r="E133">
        <v>0.53903295200000001</v>
      </c>
      <c r="F133">
        <v>3.0119660314104899</v>
      </c>
      <c r="G133">
        <v>-1</v>
      </c>
    </row>
    <row r="134" spans="1:7" x14ac:dyDescent="0.35">
      <c r="A134" t="s">
        <v>143</v>
      </c>
      <c r="B134" t="s">
        <v>8</v>
      </c>
      <c r="C134">
        <v>3436.5232959999998</v>
      </c>
      <c r="D134">
        <v>43.73526201</v>
      </c>
      <c r="E134">
        <v>0.95558371600000003</v>
      </c>
      <c r="F134">
        <v>1.6630573999999999E-2</v>
      </c>
      <c r="G134">
        <v>-1.1071106517807989</v>
      </c>
    </row>
    <row r="135" spans="1:7" x14ac:dyDescent="0.35">
      <c r="A135" t="s">
        <v>144</v>
      </c>
      <c r="B135" t="s">
        <v>10</v>
      </c>
      <c r="C135">
        <v>415295.69189999998</v>
      </c>
      <c r="D135">
        <v>545.80398849999995</v>
      </c>
      <c r="E135">
        <v>0.94337477400000003</v>
      </c>
      <c r="F135">
        <v>2.1228657000000001E-2</v>
      </c>
      <c r="G135">
        <v>-1.0000000000000011</v>
      </c>
    </row>
    <row r="136" spans="1:7" x14ac:dyDescent="0.35">
      <c r="A136" t="s">
        <v>145</v>
      </c>
      <c r="B136" t="s">
        <v>8</v>
      </c>
      <c r="C136">
        <v>2199.4126150000002</v>
      </c>
      <c r="D136">
        <v>40.22501733</v>
      </c>
      <c r="E136">
        <v>0.946262029</v>
      </c>
      <c r="F136">
        <v>1.4970005999999999E-2</v>
      </c>
      <c r="G136">
        <v>-1.0089563550161069</v>
      </c>
    </row>
    <row r="137" spans="1:7" x14ac:dyDescent="0.35">
      <c r="A137" t="s">
        <v>146</v>
      </c>
      <c r="B137" t="s">
        <v>10</v>
      </c>
      <c r="C137">
        <v>9492.8898329999993</v>
      </c>
      <c r="D137">
        <v>77.031059380000002</v>
      </c>
      <c r="E137">
        <v>0.99748106199999997</v>
      </c>
      <c r="F137">
        <v>8.5190690000000006E-3</v>
      </c>
      <c r="G137">
        <v>-1.0000000000000071</v>
      </c>
    </row>
    <row r="138" spans="1:7" x14ac:dyDescent="0.35">
      <c r="A138" t="s">
        <v>147</v>
      </c>
      <c r="B138" t="s">
        <v>26</v>
      </c>
      <c r="C138">
        <v>111.5699979</v>
      </c>
      <c r="D138">
        <v>1.325907524</v>
      </c>
      <c r="E138">
        <v>2.5632622000000001E-2</v>
      </c>
      <c r="F138">
        <v>8.1029403624158292</v>
      </c>
      <c r="G138">
        <v>1.554312234475219E-15</v>
      </c>
    </row>
    <row r="139" spans="1:7" x14ac:dyDescent="0.35">
      <c r="A139" t="s">
        <v>148</v>
      </c>
      <c r="B139" t="s">
        <v>18</v>
      </c>
      <c r="C139">
        <v>3.547539134</v>
      </c>
      <c r="D139">
        <v>1.4917838779999999</v>
      </c>
      <c r="E139">
        <v>-1.68322024</v>
      </c>
      <c r="F139">
        <v>11.962807294304</v>
      </c>
      <c r="G139">
        <v>-0.42426108743218283</v>
      </c>
    </row>
    <row r="140" spans="1:7" x14ac:dyDescent="0.35">
      <c r="A140" t="s">
        <v>149</v>
      </c>
      <c r="B140" t="s">
        <v>10</v>
      </c>
      <c r="C140">
        <v>5889.8163290000002</v>
      </c>
      <c r="D140">
        <v>51.792460759999997</v>
      </c>
      <c r="E140">
        <v>0.76898228199999996</v>
      </c>
      <c r="F140">
        <v>5.3368914000000003E-2</v>
      </c>
      <c r="G140">
        <v>-1.2185754502724691</v>
      </c>
    </row>
    <row r="141" spans="1:7" x14ac:dyDescent="0.35">
      <c r="A141" t="s">
        <v>150</v>
      </c>
      <c r="B141" t="s">
        <v>10</v>
      </c>
      <c r="C141">
        <v>11240.042149999999</v>
      </c>
      <c r="D141">
        <v>64.901490710000004</v>
      </c>
      <c r="E141">
        <v>0.99792778400000004</v>
      </c>
      <c r="F141">
        <v>4.7277810000000003E-3</v>
      </c>
      <c r="G141">
        <v>-1.0076998345160351</v>
      </c>
    </row>
    <row r="142" spans="1:7" x14ac:dyDescent="0.35">
      <c r="A142" t="s">
        <v>151</v>
      </c>
      <c r="B142" t="s">
        <v>8</v>
      </c>
      <c r="C142">
        <v>46261.406190000002</v>
      </c>
      <c r="D142">
        <v>49.354194409999998</v>
      </c>
      <c r="E142">
        <v>0.51863220499999996</v>
      </c>
      <c r="F142">
        <v>2.2216263999999999E-2</v>
      </c>
      <c r="G142">
        <v>-0.96469117787539582</v>
      </c>
    </row>
    <row r="143" spans="1:7" x14ac:dyDescent="0.35">
      <c r="A143" t="s">
        <v>152</v>
      </c>
      <c r="B143" t="s">
        <v>8</v>
      </c>
      <c r="C143">
        <v>563.02017169999999</v>
      </c>
      <c r="D143">
        <v>19.00349851</v>
      </c>
      <c r="E143">
        <v>0.99504346300000002</v>
      </c>
      <c r="F143">
        <v>4.1822179999999997E-3</v>
      </c>
      <c r="G143">
        <v>-1.610072674378201</v>
      </c>
    </row>
    <row r="144" spans="1:7" x14ac:dyDescent="0.35">
      <c r="A144" t="s">
        <v>153</v>
      </c>
      <c r="B144" t="s">
        <v>18</v>
      </c>
      <c r="C144">
        <v>8.5611513E-2</v>
      </c>
      <c r="D144">
        <v>0.215836377</v>
      </c>
      <c r="E144">
        <v>-0.683783739</v>
      </c>
      <c r="F144">
        <v>8.9449082312455008</v>
      </c>
      <c r="G144">
        <v>-1.022642149262269</v>
      </c>
    </row>
    <row r="145" spans="1:7" x14ac:dyDescent="0.35">
      <c r="A145" t="s">
        <v>154</v>
      </c>
      <c r="B145" t="s">
        <v>8</v>
      </c>
      <c r="C145">
        <v>466.61577670000003</v>
      </c>
      <c r="D145">
        <v>17.387813449999999</v>
      </c>
      <c r="E145">
        <v>0.98799246500000004</v>
      </c>
      <c r="F145">
        <v>2.9801570000000002E-3</v>
      </c>
      <c r="G145">
        <v>-0.98872393576914896</v>
      </c>
    </row>
    <row r="146" spans="1:7" x14ac:dyDescent="0.35">
      <c r="A146" t="s">
        <v>155</v>
      </c>
      <c r="B146" t="s">
        <v>8</v>
      </c>
      <c r="C146">
        <v>254.27110450000001</v>
      </c>
      <c r="D146">
        <v>11.342114280000001</v>
      </c>
      <c r="E146">
        <v>0.99737067300000004</v>
      </c>
      <c r="F146">
        <v>7.7237750000000004E-3</v>
      </c>
      <c r="G146">
        <v>-1.4942591587624421</v>
      </c>
    </row>
    <row r="147" spans="1:7" x14ac:dyDescent="0.35">
      <c r="A147" t="s">
        <v>156</v>
      </c>
      <c r="B147" t="s">
        <v>8</v>
      </c>
      <c r="C147">
        <v>38.803138840000003</v>
      </c>
      <c r="D147">
        <v>3.9547597360000002</v>
      </c>
      <c r="E147">
        <v>0.97532562300000003</v>
      </c>
      <c r="F147">
        <v>9.6209580000000006E-3</v>
      </c>
      <c r="G147">
        <v>-0.96971073027027965</v>
      </c>
    </row>
    <row r="148" spans="1:7" x14ac:dyDescent="0.35">
      <c r="A148" t="s">
        <v>157</v>
      </c>
      <c r="B148" t="s">
        <v>10</v>
      </c>
      <c r="C148">
        <v>296.62632439999999</v>
      </c>
      <c r="D148">
        <v>10.49968597</v>
      </c>
      <c r="E148">
        <v>0.98278925299999997</v>
      </c>
      <c r="F148">
        <v>1.2568184E-2</v>
      </c>
      <c r="G148">
        <v>-1.0084804910651159</v>
      </c>
    </row>
    <row r="149" spans="1:7" x14ac:dyDescent="0.35">
      <c r="A149" t="s">
        <v>158</v>
      </c>
      <c r="B149" t="s">
        <v>26</v>
      </c>
      <c r="C149">
        <v>5721048.4979999997</v>
      </c>
      <c r="D149">
        <v>1820.786063</v>
      </c>
      <c r="E149">
        <v>0.98744098499999999</v>
      </c>
      <c r="F149">
        <v>1.27031738308596</v>
      </c>
      <c r="G149">
        <v>-1.0000000000000051</v>
      </c>
    </row>
    <row r="150" spans="1:7" x14ac:dyDescent="0.35">
      <c r="A150" t="s">
        <v>159</v>
      </c>
      <c r="B150" t="s">
        <v>8</v>
      </c>
      <c r="C150">
        <v>21511.81292</v>
      </c>
      <c r="D150">
        <v>111.3123155</v>
      </c>
      <c r="E150">
        <v>0.99216890499999999</v>
      </c>
      <c r="F150">
        <v>5.4935089999999997E-3</v>
      </c>
      <c r="G150">
        <v>-1.0748729146015039</v>
      </c>
    </row>
    <row r="151" spans="1:7" x14ac:dyDescent="0.35">
      <c r="A151" t="s">
        <v>160</v>
      </c>
      <c r="B151" t="s">
        <v>8</v>
      </c>
      <c r="C151">
        <v>77.152974819999997</v>
      </c>
      <c r="D151">
        <v>7.3085442250000003</v>
      </c>
      <c r="E151">
        <v>0.98805301300000004</v>
      </c>
      <c r="F151">
        <v>8.2495850000000003E-3</v>
      </c>
      <c r="G151">
        <v>-0.63329728173294952</v>
      </c>
    </row>
    <row r="152" spans="1:7" x14ac:dyDescent="0.35">
      <c r="A152" t="s">
        <v>161</v>
      </c>
      <c r="B152" t="s">
        <v>10</v>
      </c>
      <c r="C152">
        <v>396.22554889999998</v>
      </c>
      <c r="D152">
        <v>16.254307300000001</v>
      </c>
      <c r="E152">
        <v>0.99635381499999998</v>
      </c>
      <c r="F152">
        <v>6.2974160000000001E-3</v>
      </c>
      <c r="G152">
        <v>-1.2683303359031459</v>
      </c>
    </row>
    <row r="153" spans="1:7" x14ac:dyDescent="0.35">
      <c r="A153" t="s">
        <v>162</v>
      </c>
      <c r="B153" t="s">
        <v>18</v>
      </c>
      <c r="C153">
        <v>8.7700910000000007E-3</v>
      </c>
      <c r="D153">
        <v>6.4814487000000004E-2</v>
      </c>
      <c r="E153">
        <v>0.96708566600000001</v>
      </c>
      <c r="F153">
        <v>1.54171674684882</v>
      </c>
      <c r="G153">
        <v>-0.99999999999999989</v>
      </c>
    </row>
    <row r="154" spans="1:7" x14ac:dyDescent="0.35">
      <c r="A154" t="s">
        <v>163</v>
      </c>
      <c r="B154" t="s">
        <v>8</v>
      </c>
      <c r="C154">
        <v>1.1270629729999999</v>
      </c>
      <c r="D154">
        <v>0.80911641000000001</v>
      </c>
      <c r="E154">
        <v>0.89282897100000003</v>
      </c>
      <c r="F154">
        <v>3.9974257999999999E-2</v>
      </c>
      <c r="G154">
        <v>-0.46375473123603478</v>
      </c>
    </row>
    <row r="155" spans="1:7" x14ac:dyDescent="0.35">
      <c r="A155" t="s">
        <v>164</v>
      </c>
      <c r="B155" t="s">
        <v>18</v>
      </c>
      <c r="C155">
        <v>64.609440699999993</v>
      </c>
      <c r="D155">
        <v>5.9732147839999996</v>
      </c>
      <c r="E155">
        <v>0.95449168100000004</v>
      </c>
      <c r="F155">
        <v>2.2359332390711399</v>
      </c>
      <c r="G155">
        <v>-0.59206693344300687</v>
      </c>
    </row>
    <row r="156" spans="1:7" x14ac:dyDescent="0.35">
      <c r="A156" t="s">
        <v>165</v>
      </c>
      <c r="B156" t="s">
        <v>10</v>
      </c>
      <c r="C156">
        <v>588.41185940000003</v>
      </c>
      <c r="D156">
        <v>19.396615579999999</v>
      </c>
      <c r="E156">
        <v>0.98203721499999996</v>
      </c>
      <c r="F156">
        <v>3.1949000000000001E-3</v>
      </c>
      <c r="G156">
        <v>-3.9385161798577428E-14</v>
      </c>
    </row>
    <row r="157" spans="1:7" x14ac:dyDescent="0.35">
      <c r="A157" t="s">
        <v>166</v>
      </c>
      <c r="B157" t="s">
        <v>8</v>
      </c>
      <c r="C157">
        <v>452.760199</v>
      </c>
      <c r="D157">
        <v>15.86229717</v>
      </c>
      <c r="E157">
        <v>0.91054285800000001</v>
      </c>
      <c r="F157">
        <v>3.5585431000000001E-2</v>
      </c>
      <c r="G157">
        <v>-0.70023996776079755</v>
      </c>
    </row>
    <row r="158" spans="1:7" x14ac:dyDescent="0.35">
      <c r="A158" t="s">
        <v>167</v>
      </c>
      <c r="B158" t="s">
        <v>8</v>
      </c>
      <c r="C158">
        <v>452.7360329</v>
      </c>
      <c r="D158">
        <v>15.666949020000001</v>
      </c>
      <c r="E158">
        <v>0.98772650500000003</v>
      </c>
      <c r="F158">
        <v>3.3780390000000002E-3</v>
      </c>
      <c r="G158">
        <v>-1.1580731148690431</v>
      </c>
    </row>
    <row r="159" spans="1:7" x14ac:dyDescent="0.35">
      <c r="A159" t="s">
        <v>168</v>
      </c>
      <c r="B159" t="s">
        <v>10</v>
      </c>
      <c r="C159">
        <v>5.2176599250000004</v>
      </c>
      <c r="D159">
        <v>1.667034795</v>
      </c>
      <c r="E159">
        <v>0.99901412099999998</v>
      </c>
      <c r="F159">
        <v>1.387952E-3</v>
      </c>
      <c r="G159">
        <v>-1.058544382738698</v>
      </c>
    </row>
    <row r="160" spans="1:7" x14ac:dyDescent="0.35">
      <c r="A160" t="s">
        <v>169</v>
      </c>
      <c r="B160" t="s">
        <v>8</v>
      </c>
      <c r="C160">
        <v>587.33622089999994</v>
      </c>
      <c r="D160">
        <v>12.115261520000001</v>
      </c>
      <c r="E160">
        <v>0.83351335400000004</v>
      </c>
      <c r="F160">
        <v>1.2033449E-2</v>
      </c>
      <c r="G160">
        <v>-0.96697830345510494</v>
      </c>
    </row>
    <row r="161" spans="1:7" x14ac:dyDescent="0.35">
      <c r="A161" t="s">
        <v>170</v>
      </c>
      <c r="B161" t="s">
        <v>10</v>
      </c>
      <c r="C161">
        <v>25951.145949999998</v>
      </c>
      <c r="D161">
        <v>111.2203774</v>
      </c>
      <c r="E161">
        <v>0.98290126099999997</v>
      </c>
      <c r="F161">
        <v>7.6944159999999999E-3</v>
      </c>
      <c r="G161">
        <v>-0.84459319017615608</v>
      </c>
    </row>
    <row r="162" spans="1:7" x14ac:dyDescent="0.35">
      <c r="A162" t="s">
        <v>171</v>
      </c>
      <c r="B162" t="s">
        <v>18</v>
      </c>
      <c r="C162">
        <v>18740803.469999999</v>
      </c>
      <c r="D162">
        <v>2136.5414540000002</v>
      </c>
      <c r="E162">
        <v>0.60072071599999999</v>
      </c>
      <c r="F162">
        <v>2.4852107517433901</v>
      </c>
      <c r="G162">
        <v>-1</v>
      </c>
    </row>
    <row r="163" spans="1:7" x14ac:dyDescent="0.35">
      <c r="A163" t="s">
        <v>172</v>
      </c>
      <c r="B163" t="s">
        <v>8</v>
      </c>
      <c r="C163">
        <v>413.4011673</v>
      </c>
      <c r="D163">
        <v>12.58259634</v>
      </c>
      <c r="E163">
        <v>0.99023600300000003</v>
      </c>
      <c r="F163">
        <v>7.0289530000000001E-3</v>
      </c>
      <c r="G163">
        <v>-0.94535275571170374</v>
      </c>
    </row>
    <row r="164" spans="1:7" x14ac:dyDescent="0.35">
      <c r="A164" t="s">
        <v>173</v>
      </c>
      <c r="B164" t="s">
        <v>8</v>
      </c>
      <c r="C164">
        <v>40114.34751</v>
      </c>
      <c r="D164">
        <v>52.646573050000001</v>
      </c>
      <c r="E164">
        <v>5.1468030000000001E-3</v>
      </c>
      <c r="F164">
        <v>7.2570588000000005E-2</v>
      </c>
      <c r="G164">
        <v>-1.0133966833443251</v>
      </c>
    </row>
    <row r="165" spans="1:7" x14ac:dyDescent="0.35">
      <c r="A165" t="s">
        <v>174</v>
      </c>
      <c r="B165" t="s">
        <v>10</v>
      </c>
      <c r="C165">
        <v>293211.90830000001</v>
      </c>
      <c r="D165">
        <v>417.2250411</v>
      </c>
      <c r="E165">
        <v>0.64689665699999999</v>
      </c>
      <c r="F165">
        <v>6.1617485999999999E-2</v>
      </c>
      <c r="G165">
        <v>-0.68445924778063583</v>
      </c>
    </row>
    <row r="166" spans="1:7" x14ac:dyDescent="0.35">
      <c r="A166" t="s">
        <v>175</v>
      </c>
      <c r="B166" t="s">
        <v>8</v>
      </c>
      <c r="C166">
        <v>22157.859049999999</v>
      </c>
      <c r="D166">
        <v>81.814726340000007</v>
      </c>
      <c r="E166">
        <v>0.99000075600000004</v>
      </c>
      <c r="F166">
        <v>5.4388329999999997E-3</v>
      </c>
      <c r="G166">
        <v>-1.0000000000000011</v>
      </c>
    </row>
    <row r="167" spans="1:7" x14ac:dyDescent="0.35">
      <c r="A167" t="s">
        <v>176</v>
      </c>
      <c r="B167" t="s">
        <v>8</v>
      </c>
      <c r="C167">
        <v>94.952460680000002</v>
      </c>
      <c r="D167">
        <v>7.801263563</v>
      </c>
      <c r="E167">
        <v>0.96669195900000005</v>
      </c>
      <c r="F167">
        <v>0.74621356599999999</v>
      </c>
      <c r="G167">
        <v>-1.0034150943612841</v>
      </c>
    </row>
    <row r="168" spans="1:7" x14ac:dyDescent="0.35">
      <c r="A168" t="s">
        <v>177</v>
      </c>
      <c r="B168" t="s">
        <v>8</v>
      </c>
      <c r="C168">
        <v>119.93906269999999</v>
      </c>
      <c r="D168">
        <v>9.9163124119999999</v>
      </c>
      <c r="E168">
        <v>0.95089347400000002</v>
      </c>
      <c r="F168">
        <v>8.7769149999999997E-3</v>
      </c>
      <c r="G168">
        <v>-1.544919086766503</v>
      </c>
    </row>
    <row r="169" spans="1:7" x14ac:dyDescent="0.35">
      <c r="A169" t="s">
        <v>178</v>
      </c>
      <c r="B169" t="s">
        <v>8</v>
      </c>
      <c r="C169">
        <v>42497.424919999998</v>
      </c>
      <c r="D169">
        <v>157.85648570000001</v>
      </c>
      <c r="E169">
        <v>0.98195374499999999</v>
      </c>
      <c r="F169">
        <v>8.6593769999999994E-3</v>
      </c>
      <c r="G169">
        <v>-1.1152129794197321</v>
      </c>
    </row>
    <row r="170" spans="1:7" x14ac:dyDescent="0.35">
      <c r="A170" t="s">
        <v>179</v>
      </c>
      <c r="B170" t="s">
        <v>8</v>
      </c>
      <c r="C170">
        <v>149528.55489999999</v>
      </c>
      <c r="D170">
        <v>288.69399979999997</v>
      </c>
      <c r="E170">
        <v>0.94663452100000001</v>
      </c>
      <c r="F170">
        <v>1.4575937000000001E-2</v>
      </c>
      <c r="G170">
        <v>-1.038562662964384</v>
      </c>
    </row>
    <row r="171" spans="1:7" x14ac:dyDescent="0.35">
      <c r="A171" t="s">
        <v>180</v>
      </c>
      <c r="B171" t="s">
        <v>18</v>
      </c>
      <c r="C171">
        <v>4971.0691269999998</v>
      </c>
      <c r="D171">
        <v>65.130817059999998</v>
      </c>
      <c r="E171">
        <v>-10.01941435</v>
      </c>
      <c r="F171">
        <v>96.372228670592094</v>
      </c>
      <c r="G171">
        <v>-1</v>
      </c>
    </row>
    <row r="172" spans="1:7" x14ac:dyDescent="0.35">
      <c r="A172" t="s">
        <v>181</v>
      </c>
      <c r="B172" t="s">
        <v>8</v>
      </c>
      <c r="C172">
        <v>11129.765149999999</v>
      </c>
      <c r="D172">
        <v>75.389635909999996</v>
      </c>
      <c r="E172">
        <v>0.99727555700000003</v>
      </c>
      <c r="F172">
        <v>2.3795029999999998E-3</v>
      </c>
      <c r="G172">
        <v>-1.136541797695654</v>
      </c>
    </row>
    <row r="173" spans="1:7" x14ac:dyDescent="0.35">
      <c r="A173" t="s">
        <v>182</v>
      </c>
      <c r="B173" t="s">
        <v>10</v>
      </c>
      <c r="C173">
        <v>41100.054790000002</v>
      </c>
      <c r="D173">
        <v>150.90586260000001</v>
      </c>
      <c r="E173">
        <v>0.98516626600000001</v>
      </c>
      <c r="F173">
        <v>5.1954119999999999E-3</v>
      </c>
      <c r="G173">
        <v>-0.73182159297838334</v>
      </c>
    </row>
    <row r="174" spans="1:7" x14ac:dyDescent="0.35">
      <c r="A174" t="s">
        <v>183</v>
      </c>
      <c r="B174" t="s">
        <v>8</v>
      </c>
      <c r="C174">
        <v>3244.0861650000002</v>
      </c>
      <c r="D174">
        <v>43.193761649999999</v>
      </c>
      <c r="E174">
        <v>0.99048964299999998</v>
      </c>
      <c r="F174">
        <v>8.5650559999999997E-3</v>
      </c>
      <c r="G174">
        <v>-0.99999999999999956</v>
      </c>
    </row>
    <row r="175" spans="1:7" x14ac:dyDescent="0.35">
      <c r="A175" t="s">
        <v>184</v>
      </c>
      <c r="B175" t="s">
        <v>10</v>
      </c>
      <c r="C175">
        <v>9.1094587590000007</v>
      </c>
      <c r="D175">
        <v>1.6601478730000001</v>
      </c>
      <c r="E175">
        <v>0.49348491100000003</v>
      </c>
      <c r="F175">
        <v>0.12738466400000001</v>
      </c>
      <c r="G175">
        <v>-1</v>
      </c>
    </row>
    <row r="176" spans="1:7" x14ac:dyDescent="0.35">
      <c r="A176" t="s">
        <v>185</v>
      </c>
      <c r="B176" t="s">
        <v>8</v>
      </c>
      <c r="C176">
        <v>49387.626940000002</v>
      </c>
      <c r="D176">
        <v>164.98332300000001</v>
      </c>
      <c r="E176">
        <v>0.99765190500000001</v>
      </c>
      <c r="F176">
        <v>3.3467190000000002E-3</v>
      </c>
      <c r="G176">
        <v>-0.99999999999998657</v>
      </c>
    </row>
    <row r="177" spans="1:7" x14ac:dyDescent="0.35">
      <c r="A177" t="s">
        <v>186</v>
      </c>
      <c r="B177" t="s">
        <v>8</v>
      </c>
      <c r="C177">
        <v>21.51988472</v>
      </c>
      <c r="D177">
        <v>2.629139876</v>
      </c>
      <c r="E177">
        <v>0.25496941899999997</v>
      </c>
      <c r="F177">
        <v>4.8170082000000003E-2</v>
      </c>
      <c r="G177">
        <v>-0.96707680887894398</v>
      </c>
    </row>
    <row r="178" spans="1:7" x14ac:dyDescent="0.35">
      <c r="A178" t="s">
        <v>187</v>
      </c>
      <c r="B178" t="s">
        <v>10</v>
      </c>
      <c r="C178">
        <v>53.552690320000004</v>
      </c>
      <c r="D178">
        <v>5.3110407899999998</v>
      </c>
      <c r="E178">
        <v>0.98898953700000003</v>
      </c>
      <c r="F178">
        <v>1.462018E-2</v>
      </c>
      <c r="G178">
        <v>-0.99736144665904392</v>
      </c>
    </row>
    <row r="179" spans="1:7" x14ac:dyDescent="0.35">
      <c r="A179" t="s">
        <v>188</v>
      </c>
      <c r="B179" t="s">
        <v>10</v>
      </c>
      <c r="C179">
        <v>85272.276870000002</v>
      </c>
      <c r="D179">
        <v>133.39933859999999</v>
      </c>
      <c r="E179">
        <v>0.51963241699999996</v>
      </c>
      <c r="F179">
        <v>6.1910357999999999E-2</v>
      </c>
      <c r="G179">
        <v>-1.2455652200195411</v>
      </c>
    </row>
    <row r="180" spans="1:7" x14ac:dyDescent="0.35">
      <c r="A180" t="s">
        <v>189</v>
      </c>
      <c r="B180" t="s">
        <v>8</v>
      </c>
      <c r="C180">
        <v>139.32710399999999</v>
      </c>
      <c r="D180">
        <v>8.8855717470000002</v>
      </c>
      <c r="E180">
        <v>0.98305207400000005</v>
      </c>
      <c r="F180">
        <v>6.5683479999999999E-3</v>
      </c>
      <c r="G180">
        <v>-1.1011943123015691</v>
      </c>
    </row>
    <row r="181" spans="1:7" x14ac:dyDescent="0.35">
      <c r="A181" t="s">
        <v>190</v>
      </c>
      <c r="B181" t="s">
        <v>8</v>
      </c>
      <c r="C181">
        <v>0.22214040199999999</v>
      </c>
      <c r="D181">
        <v>0.37643187700000003</v>
      </c>
      <c r="E181">
        <v>0.97993934500000002</v>
      </c>
      <c r="F181">
        <v>5.579011E-3</v>
      </c>
      <c r="G181">
        <v>-0.67263831620965175</v>
      </c>
    </row>
    <row r="182" spans="1:7" x14ac:dyDescent="0.35">
      <c r="A182" t="s">
        <v>191</v>
      </c>
      <c r="B182" t="s">
        <v>8</v>
      </c>
      <c r="C182">
        <v>1749.444056</v>
      </c>
      <c r="D182">
        <v>38.418044270000003</v>
      </c>
      <c r="E182">
        <v>0.99421089500000004</v>
      </c>
      <c r="F182">
        <v>1.2603422929999999</v>
      </c>
      <c r="G182">
        <v>-1.005980071813187</v>
      </c>
    </row>
    <row r="183" spans="1:7" x14ac:dyDescent="0.35">
      <c r="A183" t="s">
        <v>192</v>
      </c>
      <c r="B183" t="s">
        <v>18</v>
      </c>
      <c r="C183">
        <v>0.27481161799999998</v>
      </c>
      <c r="D183">
        <v>0.36886917899999999</v>
      </c>
      <c r="E183">
        <v>0</v>
      </c>
      <c r="F183">
        <v>48.344583694587598</v>
      </c>
      <c r="G183">
        <v>-0.91123964307406191</v>
      </c>
    </row>
    <row r="184" spans="1:7" x14ac:dyDescent="0.35">
      <c r="A184" t="s">
        <v>193</v>
      </c>
      <c r="B184" t="s">
        <v>10</v>
      </c>
      <c r="C184">
        <v>195.8328003</v>
      </c>
      <c r="D184">
        <v>9.4200756160000001</v>
      </c>
      <c r="E184">
        <v>0.99781255000000002</v>
      </c>
      <c r="F184">
        <v>4.2681749999999999E-3</v>
      </c>
      <c r="G184">
        <v>-1.2057665539286571</v>
      </c>
    </row>
    <row r="185" spans="1:7" x14ac:dyDescent="0.35">
      <c r="A185" t="s">
        <v>194</v>
      </c>
      <c r="B185" t="s">
        <v>26</v>
      </c>
      <c r="C185">
        <v>7.9152070000000005E-3</v>
      </c>
      <c r="D185">
        <v>7.5389158999999997E-2</v>
      </c>
      <c r="E185">
        <v>-5.0866091789999999</v>
      </c>
      <c r="F185">
        <v>30.872566736297301</v>
      </c>
      <c r="G185">
        <v>-1</v>
      </c>
    </row>
    <row r="186" spans="1:7" x14ac:dyDescent="0.35">
      <c r="A186" t="s">
        <v>195</v>
      </c>
      <c r="B186" t="s">
        <v>8</v>
      </c>
      <c r="C186">
        <v>1.4766051250000001</v>
      </c>
      <c r="D186">
        <v>0.89008813799999997</v>
      </c>
      <c r="E186">
        <v>0.888763682</v>
      </c>
      <c r="F186">
        <v>5.2412822999999997E-2</v>
      </c>
      <c r="G186">
        <v>-0.7654380010323335</v>
      </c>
    </row>
    <row r="187" spans="1:7" x14ac:dyDescent="0.35">
      <c r="A187" t="s">
        <v>196</v>
      </c>
      <c r="B187" t="s">
        <v>8</v>
      </c>
      <c r="C187">
        <v>1.05526031</v>
      </c>
      <c r="D187">
        <v>0.55462436400000004</v>
      </c>
      <c r="E187">
        <v>0.98420912900000002</v>
      </c>
      <c r="F187">
        <v>7.1729009999999998E-3</v>
      </c>
      <c r="G187">
        <v>-0.95183184695153411</v>
      </c>
    </row>
    <row r="188" spans="1:7" x14ac:dyDescent="0.35">
      <c r="A188" t="s">
        <v>197</v>
      </c>
      <c r="B188" t="s">
        <v>10</v>
      </c>
      <c r="C188">
        <v>6.2600000000000004E-5</v>
      </c>
      <c r="D188">
        <v>5.6614969999999997E-3</v>
      </c>
      <c r="E188">
        <v>-0.22798559600000001</v>
      </c>
      <c r="F188">
        <v>0.184366639</v>
      </c>
      <c r="G188">
        <v>-1.1087105255283529</v>
      </c>
    </row>
    <row r="189" spans="1:7" x14ac:dyDescent="0.35">
      <c r="A189" t="s">
        <v>198</v>
      </c>
      <c r="B189" t="s">
        <v>8</v>
      </c>
      <c r="C189">
        <v>959352.28410000005</v>
      </c>
      <c r="D189">
        <v>680.15046299999995</v>
      </c>
      <c r="E189">
        <v>0.90823537600000004</v>
      </c>
      <c r="F189">
        <v>1.2876955000000001E-2</v>
      </c>
      <c r="G189">
        <v>-1</v>
      </c>
    </row>
    <row r="190" spans="1:7" x14ac:dyDescent="0.35">
      <c r="A190" t="s">
        <v>199</v>
      </c>
      <c r="B190" t="s">
        <v>18</v>
      </c>
      <c r="C190">
        <v>127.0676655</v>
      </c>
      <c r="D190">
        <v>10.0992335</v>
      </c>
      <c r="E190">
        <v>-4.594442924</v>
      </c>
      <c r="F190">
        <v>54.467027258256699</v>
      </c>
      <c r="G190">
        <v>-1</v>
      </c>
    </row>
    <row r="191" spans="1:7" x14ac:dyDescent="0.35">
      <c r="A191" t="s">
        <v>200</v>
      </c>
      <c r="B191" t="s">
        <v>8</v>
      </c>
      <c r="C191">
        <v>0.36007585800000003</v>
      </c>
      <c r="D191">
        <v>0.44271394600000002</v>
      </c>
      <c r="E191">
        <v>0.99441613500000003</v>
      </c>
      <c r="F191">
        <v>6.2368759999999997E-3</v>
      </c>
      <c r="G191">
        <v>-1.1292091501846739</v>
      </c>
    </row>
    <row r="192" spans="1:7" x14ac:dyDescent="0.35">
      <c r="A192" t="s">
        <v>201</v>
      </c>
      <c r="B192" t="s">
        <v>18</v>
      </c>
      <c r="C192">
        <v>14290.79062</v>
      </c>
      <c r="D192">
        <v>66.842853640000001</v>
      </c>
      <c r="E192">
        <v>0.20583488899999999</v>
      </c>
      <c r="F192">
        <v>122.212802986432</v>
      </c>
      <c r="G192">
        <v>-4.5796699765787707E-16</v>
      </c>
    </row>
    <row r="193" spans="1:7" x14ac:dyDescent="0.35">
      <c r="A193" t="s">
        <v>202</v>
      </c>
      <c r="B193" t="s">
        <v>10</v>
      </c>
      <c r="C193">
        <v>113.52782929999999</v>
      </c>
      <c r="D193">
        <v>6.8981511979999999</v>
      </c>
      <c r="E193">
        <v>-1.4231737710000001</v>
      </c>
      <c r="F193">
        <v>0.12743365600000001</v>
      </c>
      <c r="G193">
        <v>-0.93371829455498589</v>
      </c>
    </row>
    <row r="194" spans="1:7" x14ac:dyDescent="0.35">
      <c r="A194" t="s">
        <v>203</v>
      </c>
      <c r="B194" t="s">
        <v>8</v>
      </c>
      <c r="C194">
        <v>155.4790198</v>
      </c>
      <c r="D194">
        <v>7.0545095780000002</v>
      </c>
      <c r="E194">
        <v>0.83201431400000003</v>
      </c>
      <c r="F194">
        <v>7.4901200000000003E-3</v>
      </c>
      <c r="G194">
        <v>-1.136568188470984</v>
      </c>
    </row>
    <row r="195" spans="1:7" x14ac:dyDescent="0.35">
      <c r="A195" t="s">
        <v>204</v>
      </c>
      <c r="B195" t="s">
        <v>8</v>
      </c>
      <c r="C195">
        <v>0.53404024000000005</v>
      </c>
      <c r="D195">
        <v>0.65965929700000003</v>
      </c>
      <c r="E195">
        <v>0.98996442500000004</v>
      </c>
      <c r="F195">
        <v>8.6717689999999993E-3</v>
      </c>
      <c r="G195">
        <v>-1.0000000000000031</v>
      </c>
    </row>
    <row r="196" spans="1:7" x14ac:dyDescent="0.35">
      <c r="A196" t="s">
        <v>205</v>
      </c>
      <c r="B196" t="s">
        <v>8</v>
      </c>
      <c r="C196">
        <v>4691.231025</v>
      </c>
      <c r="D196">
        <v>51.03606851</v>
      </c>
      <c r="E196">
        <v>0.87022266199999998</v>
      </c>
      <c r="F196">
        <v>2.2415017999999998E-2</v>
      </c>
      <c r="G196">
        <v>-1</v>
      </c>
    </row>
    <row r="197" spans="1:7" x14ac:dyDescent="0.35">
      <c r="A197" t="s">
        <v>206</v>
      </c>
      <c r="B197" t="s">
        <v>18</v>
      </c>
      <c r="C197">
        <v>36557.996639999998</v>
      </c>
      <c r="D197">
        <v>109.7565768</v>
      </c>
      <c r="E197">
        <v>0.96313864999999999</v>
      </c>
      <c r="F197">
        <v>0.833041898285522</v>
      </c>
      <c r="G197">
        <v>-1</v>
      </c>
    </row>
    <row r="198" spans="1:7" x14ac:dyDescent="0.35">
      <c r="A198" t="s">
        <v>207</v>
      </c>
      <c r="B198" t="s">
        <v>8</v>
      </c>
      <c r="C198">
        <v>18.573152870000001</v>
      </c>
      <c r="D198">
        <v>3.2292665679999999</v>
      </c>
      <c r="E198">
        <v>0.99624267499999997</v>
      </c>
      <c r="F198">
        <v>5.0739599999999998E-3</v>
      </c>
      <c r="G198">
        <v>-1.121759950412706</v>
      </c>
    </row>
    <row r="199" spans="1:7" x14ac:dyDescent="0.35">
      <c r="A199" t="s">
        <v>208</v>
      </c>
      <c r="B199" t="s">
        <v>10</v>
      </c>
      <c r="C199">
        <v>4.0698318069999999</v>
      </c>
      <c r="D199">
        <v>1.5485553940000001</v>
      </c>
      <c r="E199">
        <v>0.99695274099999998</v>
      </c>
      <c r="F199">
        <v>3.195458E-3</v>
      </c>
      <c r="G199">
        <v>-0.99999999999999478</v>
      </c>
    </row>
    <row r="200" spans="1:7" x14ac:dyDescent="0.35">
      <c r="A200" t="s">
        <v>209</v>
      </c>
      <c r="B200" t="s">
        <v>18</v>
      </c>
      <c r="C200">
        <v>12.929495319999999</v>
      </c>
      <c r="D200">
        <v>2.6884046490000002</v>
      </c>
      <c r="E200">
        <v>-21.660770800000002</v>
      </c>
      <c r="F200">
        <v>60.465530434925398</v>
      </c>
      <c r="G200">
        <v>-0.80957022102959331</v>
      </c>
    </row>
    <row r="201" spans="1:7" x14ac:dyDescent="0.35">
      <c r="A201" t="s">
        <v>210</v>
      </c>
      <c r="B201" t="s">
        <v>26</v>
      </c>
      <c r="C201">
        <v>374099.49400000001</v>
      </c>
      <c r="D201">
        <v>270.51820759999998</v>
      </c>
      <c r="E201">
        <v>-0.24103039400000001</v>
      </c>
      <c r="F201">
        <v>22.077096575395601</v>
      </c>
      <c r="G201">
        <v>-0.99999999999999989</v>
      </c>
    </row>
    <row r="202" spans="1:7" x14ac:dyDescent="0.35">
      <c r="A202" t="s">
        <v>211</v>
      </c>
      <c r="B202" t="s">
        <v>26</v>
      </c>
      <c r="C202">
        <v>2.0386619389999998</v>
      </c>
      <c r="D202">
        <v>1.1898570989999999</v>
      </c>
      <c r="E202">
        <v>0.69860612</v>
      </c>
      <c r="F202">
        <v>9.68798662930406</v>
      </c>
      <c r="G202">
        <v>-1</v>
      </c>
    </row>
    <row r="203" spans="1:7" x14ac:dyDescent="0.35">
      <c r="A203" t="s">
        <v>212</v>
      </c>
      <c r="B203" t="s">
        <v>10</v>
      </c>
      <c r="C203">
        <v>6938.4848540000003</v>
      </c>
      <c r="D203">
        <v>71.496232070000005</v>
      </c>
      <c r="E203">
        <v>0.90961011599999997</v>
      </c>
      <c r="F203">
        <v>1.9484774999999999E-2</v>
      </c>
      <c r="G203">
        <v>-1.0224896262233441</v>
      </c>
    </row>
    <row r="204" spans="1:7" x14ac:dyDescent="0.35">
      <c r="A204" t="s">
        <v>213</v>
      </c>
      <c r="B204" t="s">
        <v>8</v>
      </c>
      <c r="C204">
        <v>1119.6879530000001</v>
      </c>
      <c r="D204">
        <v>18.162985580000001</v>
      </c>
      <c r="E204">
        <v>0.98039611100000001</v>
      </c>
      <c r="F204">
        <v>1.176241519</v>
      </c>
      <c r="G204">
        <v>-1.4497207765318501</v>
      </c>
    </row>
    <row r="205" spans="1:7" x14ac:dyDescent="0.35">
      <c r="A205" t="s">
        <v>214</v>
      </c>
      <c r="B205" t="s">
        <v>10</v>
      </c>
      <c r="C205">
        <v>94.105048280000005</v>
      </c>
      <c r="D205">
        <v>7.8070418129999997</v>
      </c>
      <c r="E205">
        <v>0.98942872199999998</v>
      </c>
      <c r="F205">
        <v>2.5998150000000001E-3</v>
      </c>
      <c r="G205">
        <v>-1.243131049255948</v>
      </c>
    </row>
    <row r="206" spans="1:7" x14ac:dyDescent="0.35">
      <c r="A206" t="s">
        <v>215</v>
      </c>
      <c r="B206" t="s">
        <v>8</v>
      </c>
      <c r="C206">
        <v>577.09851909999998</v>
      </c>
      <c r="D206">
        <v>16.763694900000001</v>
      </c>
      <c r="E206">
        <v>0.99017680500000005</v>
      </c>
      <c r="F206">
        <v>1.0200348E-2</v>
      </c>
      <c r="G206">
        <v>-0.99378941778396013</v>
      </c>
    </row>
    <row r="207" spans="1:7" x14ac:dyDescent="0.35">
      <c r="A207" t="s">
        <v>216</v>
      </c>
      <c r="B207" t="s">
        <v>10</v>
      </c>
      <c r="C207">
        <v>39292.347300000001</v>
      </c>
      <c r="D207">
        <v>128.5895098</v>
      </c>
      <c r="E207">
        <v>0.95821487699999996</v>
      </c>
      <c r="F207">
        <v>2.250773E-2</v>
      </c>
      <c r="G207">
        <v>-1.0264203312001301</v>
      </c>
    </row>
    <row r="208" spans="1:7" x14ac:dyDescent="0.35">
      <c r="A208" t="s">
        <v>217</v>
      </c>
      <c r="B208" t="s">
        <v>18</v>
      </c>
      <c r="C208">
        <v>4.3139223999999997E-2</v>
      </c>
      <c r="D208">
        <v>0.176198618</v>
      </c>
      <c r="E208">
        <v>-1.0972896379999999</v>
      </c>
      <c r="F208">
        <v>50.064011024163499</v>
      </c>
      <c r="G208">
        <v>-0.79888605787802858</v>
      </c>
    </row>
    <row r="209" spans="1:7" x14ac:dyDescent="0.35">
      <c r="A209" t="s">
        <v>218</v>
      </c>
      <c r="B209" t="s">
        <v>10</v>
      </c>
      <c r="C209">
        <v>306.69061060000001</v>
      </c>
      <c r="D209">
        <v>13.16303677</v>
      </c>
      <c r="E209">
        <v>0.99792186000000005</v>
      </c>
      <c r="F209">
        <v>5.7930259999999997E-3</v>
      </c>
      <c r="G209">
        <v>-0.70670485071506661</v>
      </c>
    </row>
    <row r="210" spans="1:7" x14ac:dyDescent="0.35">
      <c r="A210" t="s">
        <v>219</v>
      </c>
      <c r="B210" t="s">
        <v>8</v>
      </c>
      <c r="C210">
        <v>193.22009969999999</v>
      </c>
      <c r="D210">
        <v>9.7237803980000006</v>
      </c>
      <c r="E210">
        <v>0.94284992099999998</v>
      </c>
      <c r="F210">
        <v>1.4035949000000001E-2</v>
      </c>
      <c r="G210">
        <v>-1.0070038062133451</v>
      </c>
    </row>
    <row r="211" spans="1:7" x14ac:dyDescent="0.35">
      <c r="A211" t="s">
        <v>220</v>
      </c>
      <c r="B211" t="s">
        <v>8</v>
      </c>
      <c r="C211">
        <v>14128.49221</v>
      </c>
      <c r="D211">
        <v>57.470314989999999</v>
      </c>
      <c r="E211">
        <v>-12.946651149999999</v>
      </c>
      <c r="F211">
        <v>1.1963448329999999</v>
      </c>
      <c r="G211">
        <v>-1.2247871239503749</v>
      </c>
    </row>
    <row r="212" spans="1:7" x14ac:dyDescent="0.35">
      <c r="A212" t="s">
        <v>221</v>
      </c>
      <c r="B212" t="s">
        <v>10</v>
      </c>
      <c r="C212">
        <v>450.13305159999999</v>
      </c>
      <c r="D212">
        <v>16.711444740000001</v>
      </c>
      <c r="E212">
        <v>0.96288156499999999</v>
      </c>
      <c r="F212">
        <v>8.8398920000000002E-3</v>
      </c>
      <c r="G212">
        <v>-0.99999999999999956</v>
      </c>
    </row>
    <row r="213" spans="1:7" x14ac:dyDescent="0.35">
      <c r="A213" t="s">
        <v>222</v>
      </c>
      <c r="B213" t="s">
        <v>10</v>
      </c>
      <c r="C213">
        <v>13930.538189999999</v>
      </c>
      <c r="D213">
        <v>98.648997059999999</v>
      </c>
      <c r="E213">
        <v>0.99331197500000001</v>
      </c>
      <c r="F213">
        <v>4.5058099999999999E-3</v>
      </c>
      <c r="G213">
        <v>-1.0874290418025749</v>
      </c>
    </row>
    <row r="214" spans="1:7" x14ac:dyDescent="0.35">
      <c r="A214" t="s">
        <v>223</v>
      </c>
      <c r="B214" t="s">
        <v>8</v>
      </c>
      <c r="C214">
        <v>115.914929</v>
      </c>
      <c r="D214">
        <v>8.3655383109999999</v>
      </c>
      <c r="E214">
        <v>0.96165683000000002</v>
      </c>
      <c r="F214">
        <v>1.3718265E-2</v>
      </c>
      <c r="G214">
        <v>-1</v>
      </c>
    </row>
    <row r="215" spans="1:7" x14ac:dyDescent="0.35">
      <c r="A215" t="s">
        <v>224</v>
      </c>
      <c r="B215" t="s">
        <v>8</v>
      </c>
      <c r="C215">
        <v>12.90657732</v>
      </c>
      <c r="D215">
        <v>2.186304566</v>
      </c>
      <c r="E215">
        <v>0.95367810200000003</v>
      </c>
      <c r="F215">
        <v>5.5682689999999998E-3</v>
      </c>
      <c r="G215">
        <v>-0.73329020332414596</v>
      </c>
    </row>
    <row r="216" spans="1:7" x14ac:dyDescent="0.35">
      <c r="A216" t="s">
        <v>225</v>
      </c>
      <c r="B216" t="s">
        <v>18</v>
      </c>
      <c r="C216">
        <v>31876.422460000002</v>
      </c>
      <c r="D216">
        <v>142.10856630000001</v>
      </c>
      <c r="E216">
        <v>-0.81545618499999994</v>
      </c>
      <c r="F216">
        <v>131.126751879209</v>
      </c>
      <c r="G216">
        <v>-1</v>
      </c>
    </row>
    <row r="217" spans="1:7" x14ac:dyDescent="0.35">
      <c r="A217" t="s">
        <v>226</v>
      </c>
      <c r="B217" t="s">
        <v>8</v>
      </c>
      <c r="C217">
        <v>1097.516208</v>
      </c>
      <c r="D217">
        <v>25.947627069999999</v>
      </c>
      <c r="E217">
        <v>0.99724194700000002</v>
      </c>
      <c r="F217">
        <v>5.616724E-3</v>
      </c>
      <c r="G217">
        <v>-1.263759386546508</v>
      </c>
    </row>
    <row r="218" spans="1:7" x14ac:dyDescent="0.35">
      <c r="A218" t="s">
        <v>227</v>
      </c>
      <c r="B218" t="s">
        <v>10</v>
      </c>
      <c r="C218">
        <v>3491799.7889999999</v>
      </c>
      <c r="D218">
        <v>1084.092345</v>
      </c>
      <c r="E218">
        <v>0.98714317799999995</v>
      </c>
      <c r="F218">
        <v>4.6566300000000001E-3</v>
      </c>
      <c r="G218">
        <v>-0.94122041719511773</v>
      </c>
    </row>
    <row r="219" spans="1:7" x14ac:dyDescent="0.35">
      <c r="A219" t="s">
        <v>228</v>
      </c>
      <c r="B219" t="s">
        <v>8</v>
      </c>
      <c r="C219">
        <v>45.088627469999999</v>
      </c>
      <c r="D219">
        <v>5.0963526750000003</v>
      </c>
      <c r="E219">
        <v>-2.7327727340000001</v>
      </c>
      <c r="F219">
        <v>0.157436776</v>
      </c>
      <c r="G219">
        <v>-0.88082853064721878</v>
      </c>
    </row>
    <row r="220" spans="1:7" x14ac:dyDescent="0.35">
      <c r="A220" t="s">
        <v>229</v>
      </c>
      <c r="B220" t="s">
        <v>18</v>
      </c>
      <c r="C220">
        <v>0.484650311</v>
      </c>
      <c r="D220">
        <v>0.475109212</v>
      </c>
      <c r="E220">
        <v>-0.81530839799999999</v>
      </c>
      <c r="F220">
        <v>46.000517379833497</v>
      </c>
      <c r="G220">
        <v>-0.51772558475587682</v>
      </c>
    </row>
    <row r="221" spans="1:7" x14ac:dyDescent="0.35">
      <c r="A221" t="s">
        <v>230</v>
      </c>
      <c r="B221" t="s">
        <v>8</v>
      </c>
      <c r="C221">
        <v>112.34181270000001</v>
      </c>
      <c r="D221">
        <v>8.0147281990000003</v>
      </c>
      <c r="E221">
        <v>0.99832984800000002</v>
      </c>
      <c r="F221">
        <v>4.451315E-3</v>
      </c>
      <c r="G221">
        <v>-0.96363462978476688</v>
      </c>
    </row>
    <row r="222" spans="1:7" x14ac:dyDescent="0.35">
      <c r="A222" t="s">
        <v>231</v>
      </c>
      <c r="B222" t="s">
        <v>8</v>
      </c>
      <c r="C222">
        <v>211.2000999</v>
      </c>
      <c r="D222">
        <v>13.652259669999999</v>
      </c>
      <c r="E222">
        <v>-0.37038375200000001</v>
      </c>
      <c r="F222">
        <v>3.0696927999999998E-2</v>
      </c>
      <c r="G222">
        <v>-0.85862658786326984</v>
      </c>
    </row>
    <row r="223" spans="1:7" x14ac:dyDescent="0.35">
      <c r="A223" t="s">
        <v>232</v>
      </c>
      <c r="B223" t="s">
        <v>10</v>
      </c>
      <c r="C223">
        <v>118295.5585</v>
      </c>
      <c r="D223">
        <v>222.27970210000001</v>
      </c>
      <c r="E223">
        <v>0.95499512499999994</v>
      </c>
      <c r="F223">
        <v>1.4358019E-2</v>
      </c>
      <c r="G223">
        <v>-0.71252436249536488</v>
      </c>
    </row>
    <row r="224" spans="1:7" x14ac:dyDescent="0.35">
      <c r="A224" t="s">
        <v>233</v>
      </c>
      <c r="B224" t="s">
        <v>10</v>
      </c>
      <c r="C224">
        <v>389.5493697</v>
      </c>
      <c r="D224">
        <v>12.18585034</v>
      </c>
      <c r="E224">
        <v>0.62478515199999995</v>
      </c>
      <c r="F224">
        <v>3.0626324999999999E-2</v>
      </c>
      <c r="G224">
        <v>-0.96761265966825405</v>
      </c>
    </row>
    <row r="225" spans="1:7" x14ac:dyDescent="0.35">
      <c r="A225" t="s">
        <v>234</v>
      </c>
      <c r="B225" t="s">
        <v>10</v>
      </c>
      <c r="C225">
        <v>1887.42364</v>
      </c>
      <c r="D225">
        <v>28.088097659999999</v>
      </c>
      <c r="E225">
        <v>0.88184585199999999</v>
      </c>
      <c r="F225">
        <v>7.4433001999999998E-2</v>
      </c>
      <c r="G225">
        <v>-1.0088124321103891</v>
      </c>
    </row>
    <row r="226" spans="1:7" x14ac:dyDescent="0.35">
      <c r="A226" t="s">
        <v>235</v>
      </c>
      <c r="B226" t="s">
        <v>10</v>
      </c>
      <c r="C226">
        <v>35866.088259999997</v>
      </c>
      <c r="D226">
        <v>98.988121829999997</v>
      </c>
      <c r="E226">
        <v>0.99346936299999999</v>
      </c>
      <c r="F226">
        <v>4.4891030000000004E-3</v>
      </c>
      <c r="G226">
        <v>-1.0245536501123089</v>
      </c>
    </row>
    <row r="227" spans="1:7" x14ac:dyDescent="0.35">
      <c r="A227" t="s">
        <v>236</v>
      </c>
      <c r="B227" t="s">
        <v>18</v>
      </c>
      <c r="C227">
        <v>789.71538969999995</v>
      </c>
      <c r="D227">
        <v>23.006327089999999</v>
      </c>
      <c r="E227">
        <v>-520.82252630000005</v>
      </c>
      <c r="F227">
        <v>396.51046391038801</v>
      </c>
      <c r="G227">
        <v>-0.58158553286652415</v>
      </c>
    </row>
    <row r="228" spans="1:7" x14ac:dyDescent="0.35">
      <c r="A228" t="s">
        <v>237</v>
      </c>
      <c r="B228" t="s">
        <v>10</v>
      </c>
      <c r="C228">
        <v>517897.3455</v>
      </c>
      <c r="D228">
        <v>557.87150359999998</v>
      </c>
      <c r="E228">
        <v>0.99642225500000003</v>
      </c>
      <c r="F228">
        <v>5.9456179999999997E-3</v>
      </c>
      <c r="G228">
        <v>-0.99999999999998412</v>
      </c>
    </row>
    <row r="229" spans="1:7" x14ac:dyDescent="0.35">
      <c r="A229" t="s">
        <v>238</v>
      </c>
      <c r="B229" t="s">
        <v>8</v>
      </c>
      <c r="C229">
        <v>117.9032586</v>
      </c>
      <c r="D229">
        <v>8.6777995870000009</v>
      </c>
      <c r="E229">
        <v>0.997244456</v>
      </c>
      <c r="F229">
        <v>2.5379719999999999E-3</v>
      </c>
      <c r="G229">
        <v>-1.1529651176715829</v>
      </c>
    </row>
    <row r="230" spans="1:7" x14ac:dyDescent="0.35">
      <c r="A230" t="s">
        <v>239</v>
      </c>
      <c r="B230" t="s">
        <v>8</v>
      </c>
      <c r="C230">
        <v>65.556996679999997</v>
      </c>
      <c r="D230">
        <v>5.0716055259999999</v>
      </c>
      <c r="E230">
        <v>0.97105321300000003</v>
      </c>
      <c r="F230">
        <v>6.46183E-3</v>
      </c>
      <c r="G230">
        <v>-0.84943417155527723</v>
      </c>
    </row>
    <row r="231" spans="1:7" x14ac:dyDescent="0.35">
      <c r="A231" t="s">
        <v>240</v>
      </c>
      <c r="B231" t="s">
        <v>8</v>
      </c>
      <c r="C231">
        <v>2128.3928919999998</v>
      </c>
      <c r="D231">
        <v>31.770630860000001</v>
      </c>
      <c r="E231">
        <v>0.99421276000000003</v>
      </c>
      <c r="F231">
        <v>4.4408779999999997E-3</v>
      </c>
      <c r="G231">
        <v>-1.0368688974050211</v>
      </c>
    </row>
    <row r="232" spans="1:7" x14ac:dyDescent="0.35">
      <c r="A232" t="s">
        <v>241</v>
      </c>
      <c r="B232" t="s">
        <v>10</v>
      </c>
      <c r="C232">
        <v>11019.29011</v>
      </c>
      <c r="D232">
        <v>74.277043120000002</v>
      </c>
      <c r="E232">
        <v>0.95003927099999996</v>
      </c>
      <c r="F232">
        <v>1.9481470000000001E-2</v>
      </c>
      <c r="G232">
        <v>-0.7203361347558378</v>
      </c>
    </row>
    <row r="233" spans="1:7" x14ac:dyDescent="0.35">
      <c r="A233" t="s">
        <v>242</v>
      </c>
      <c r="B233" t="s">
        <v>18</v>
      </c>
      <c r="C233">
        <v>1505.513158</v>
      </c>
      <c r="D233">
        <v>25.28588229</v>
      </c>
      <c r="E233">
        <v>-0.42463810499999999</v>
      </c>
      <c r="F233">
        <v>928.38668571200003</v>
      </c>
      <c r="G233">
        <v>-1</v>
      </c>
    </row>
    <row r="234" spans="1:7" x14ac:dyDescent="0.35">
      <c r="A234" t="s">
        <v>243</v>
      </c>
      <c r="B234" t="s">
        <v>8</v>
      </c>
      <c r="C234">
        <v>53.028207109999997</v>
      </c>
      <c r="D234">
        <v>4.3588604240000004</v>
      </c>
      <c r="E234">
        <v>0.98874675899999998</v>
      </c>
      <c r="F234">
        <v>7.4271629999999996E-3</v>
      </c>
      <c r="G234">
        <v>-0.87689571385494425</v>
      </c>
    </row>
    <row r="235" spans="1:7" x14ac:dyDescent="0.35">
      <c r="A235" t="s">
        <v>244</v>
      </c>
      <c r="B235" t="s">
        <v>18</v>
      </c>
      <c r="C235">
        <v>223356.52470000001</v>
      </c>
      <c r="D235">
        <v>411.87093479999999</v>
      </c>
      <c r="E235">
        <v>-8.1336473320000007</v>
      </c>
      <c r="F235">
        <v>541435.67643746897</v>
      </c>
      <c r="G235">
        <v>-0.80000000000000138</v>
      </c>
    </row>
    <row r="236" spans="1:7" x14ac:dyDescent="0.35">
      <c r="A236" t="s">
        <v>245</v>
      </c>
      <c r="B236" t="s">
        <v>10</v>
      </c>
      <c r="C236">
        <v>57.737771930000001</v>
      </c>
      <c r="D236">
        <v>3.9316089170000001</v>
      </c>
      <c r="E236">
        <v>0.71065215500000001</v>
      </c>
      <c r="F236">
        <v>1.5562568000000001E-2</v>
      </c>
      <c r="G236">
        <v>-1</v>
      </c>
    </row>
    <row r="237" spans="1:7" x14ac:dyDescent="0.35">
      <c r="A237" t="s">
        <v>246</v>
      </c>
      <c r="B237" t="s">
        <v>8</v>
      </c>
      <c r="C237">
        <v>57.183632940000003</v>
      </c>
      <c r="D237">
        <v>5.7299743449999996</v>
      </c>
      <c r="E237">
        <v>0.998790285</v>
      </c>
      <c r="F237">
        <v>3.5268220000000002E-3</v>
      </c>
      <c r="G237">
        <v>-1.41008822681687</v>
      </c>
    </row>
    <row r="238" spans="1:7" x14ac:dyDescent="0.35">
      <c r="A238" t="s">
        <v>247</v>
      </c>
      <c r="B238" t="s">
        <v>8</v>
      </c>
      <c r="C238">
        <v>5915.9014139999999</v>
      </c>
      <c r="D238">
        <v>58.687057060000001</v>
      </c>
      <c r="E238">
        <v>0.90930964700000005</v>
      </c>
      <c r="F238">
        <v>0.12540849800000001</v>
      </c>
      <c r="G238">
        <v>-0.19999999999999979</v>
      </c>
    </row>
    <row r="239" spans="1:7" x14ac:dyDescent="0.35">
      <c r="A239" t="s">
        <v>248</v>
      </c>
      <c r="B239" t="s">
        <v>10</v>
      </c>
      <c r="C239">
        <v>56742.760889999998</v>
      </c>
      <c r="D239">
        <v>170.97006379999999</v>
      </c>
      <c r="E239">
        <v>0.34164524600000001</v>
      </c>
      <c r="F239">
        <v>2.6071699E-2</v>
      </c>
      <c r="G239">
        <v>-0.99999999999999989</v>
      </c>
    </row>
    <row r="240" spans="1:7" x14ac:dyDescent="0.35">
      <c r="A240" t="s">
        <v>249</v>
      </c>
      <c r="B240" t="s">
        <v>10</v>
      </c>
      <c r="C240">
        <v>80.774837360000006</v>
      </c>
      <c r="D240">
        <v>7.3585525089999999</v>
      </c>
      <c r="E240">
        <v>0.99289048999999996</v>
      </c>
      <c r="F240">
        <v>5.1196669999999996E-3</v>
      </c>
      <c r="G240">
        <v>-0.84040947923344922</v>
      </c>
    </row>
    <row r="241" spans="1:7" x14ac:dyDescent="0.35">
      <c r="A241" t="s">
        <v>250</v>
      </c>
      <c r="B241" t="s">
        <v>8</v>
      </c>
      <c r="C241">
        <v>7380.9399430000003</v>
      </c>
      <c r="D241">
        <v>57.198707069999998</v>
      </c>
      <c r="E241">
        <v>0.99827597800000001</v>
      </c>
      <c r="F241">
        <v>5.5361350000000002E-3</v>
      </c>
      <c r="G241">
        <v>-0.76788531825138595</v>
      </c>
    </row>
    <row r="242" spans="1:7" x14ac:dyDescent="0.35">
      <c r="A242" t="s">
        <v>251</v>
      </c>
      <c r="B242" t="s">
        <v>10</v>
      </c>
      <c r="C242">
        <v>92.810068180000002</v>
      </c>
      <c r="D242">
        <v>7.7774309449999999</v>
      </c>
      <c r="E242">
        <v>0.98508104699999999</v>
      </c>
      <c r="F242">
        <v>5.6482989999999999E-3</v>
      </c>
      <c r="G242">
        <v>-1.06594851789764</v>
      </c>
    </row>
    <row r="243" spans="1:7" x14ac:dyDescent="0.35">
      <c r="A243" t="s">
        <v>252</v>
      </c>
      <c r="B243" t="s">
        <v>26</v>
      </c>
      <c r="C243">
        <v>2.3467299999999999E-4</v>
      </c>
      <c r="D243">
        <v>1.1263538E-2</v>
      </c>
      <c r="E243">
        <v>0.93190419099999999</v>
      </c>
      <c r="F243">
        <v>1.5403218246391801</v>
      </c>
      <c r="G243">
        <v>-1.000000000000006</v>
      </c>
    </row>
    <row r="244" spans="1:7" x14ac:dyDescent="0.35">
      <c r="A244" t="s">
        <v>253</v>
      </c>
      <c r="B244" t="s">
        <v>26</v>
      </c>
      <c r="C244">
        <v>4.7675543000000001E-2</v>
      </c>
      <c r="D244">
        <v>0.172242335</v>
      </c>
      <c r="E244">
        <v>-1.523553849</v>
      </c>
      <c r="F244">
        <v>10.333440725017301</v>
      </c>
      <c r="G244">
        <v>-0.99999999999999978</v>
      </c>
    </row>
    <row r="245" spans="1:7" x14ac:dyDescent="0.35">
      <c r="A245" t="s">
        <v>254</v>
      </c>
      <c r="B245" t="s">
        <v>18</v>
      </c>
      <c r="C245">
        <v>35.34025733</v>
      </c>
      <c r="D245">
        <v>3.9189044869999998</v>
      </c>
      <c r="E245">
        <v>0.89015186599999996</v>
      </c>
      <c r="F245">
        <v>2.4421155448562399</v>
      </c>
      <c r="G245">
        <v>-1.0000000000000011</v>
      </c>
    </row>
    <row r="246" spans="1:7" x14ac:dyDescent="0.35">
      <c r="A246" t="s">
        <v>255</v>
      </c>
      <c r="B246" t="s">
        <v>10</v>
      </c>
      <c r="C246">
        <v>6628.5975209999997</v>
      </c>
      <c r="D246">
        <v>61.860046560000001</v>
      </c>
      <c r="E246">
        <v>0.97911526900000001</v>
      </c>
      <c r="F246">
        <v>7.496885E-3</v>
      </c>
      <c r="G246">
        <v>-1.0115395778415719</v>
      </c>
    </row>
    <row r="247" spans="1:7" x14ac:dyDescent="0.35">
      <c r="A247" t="s">
        <v>256</v>
      </c>
      <c r="B247" t="s">
        <v>8</v>
      </c>
      <c r="C247">
        <v>145062.82120000001</v>
      </c>
      <c r="D247">
        <v>310.94702230000001</v>
      </c>
      <c r="E247">
        <v>0.99649728100000001</v>
      </c>
      <c r="F247">
        <v>3.7278419999999999E-3</v>
      </c>
      <c r="G247">
        <v>-1.0918899030184961</v>
      </c>
    </row>
    <row r="248" spans="1:7" x14ac:dyDescent="0.35">
      <c r="A248" t="s">
        <v>257</v>
      </c>
      <c r="B248" t="s">
        <v>8</v>
      </c>
      <c r="C248">
        <v>8238.5205900000001</v>
      </c>
      <c r="D248">
        <v>72.716672560000006</v>
      </c>
      <c r="E248">
        <v>0.98843342199999995</v>
      </c>
      <c r="F248">
        <v>7.9862779999999994E-3</v>
      </c>
      <c r="G248">
        <v>-1.384405030830669</v>
      </c>
    </row>
    <row r="249" spans="1:7" x14ac:dyDescent="0.35">
      <c r="A249" t="s">
        <v>258</v>
      </c>
      <c r="B249" t="s">
        <v>8</v>
      </c>
      <c r="C249">
        <v>884.38434210000003</v>
      </c>
      <c r="D249">
        <v>22.264732930000001</v>
      </c>
      <c r="E249">
        <v>0.98514560799999995</v>
      </c>
      <c r="F249">
        <v>1.2909014999999999E-2</v>
      </c>
      <c r="G249">
        <v>-0.87871547273738559</v>
      </c>
    </row>
    <row r="250" spans="1:7" x14ac:dyDescent="0.35">
      <c r="A250" t="s">
        <v>259</v>
      </c>
      <c r="B250" t="s">
        <v>10</v>
      </c>
      <c r="C250">
        <v>776.42326960000003</v>
      </c>
      <c r="D250">
        <v>17.971804779999999</v>
      </c>
      <c r="E250">
        <v>0.96250875000000002</v>
      </c>
      <c r="F250">
        <v>7.8124470000000001E-3</v>
      </c>
      <c r="G250">
        <v>-0.74063099915110575</v>
      </c>
    </row>
    <row r="251" spans="1:7" x14ac:dyDescent="0.35">
      <c r="A251" t="s">
        <v>260</v>
      </c>
      <c r="B251" t="s">
        <v>8</v>
      </c>
      <c r="C251">
        <v>1369.2463419999999</v>
      </c>
      <c r="D251">
        <v>32.90342759</v>
      </c>
      <c r="E251">
        <v>-3.6446659459999999</v>
      </c>
      <c r="F251">
        <v>9.1772042999999998E-2</v>
      </c>
      <c r="G251">
        <v>-0.88421767596877832</v>
      </c>
    </row>
    <row r="252" spans="1:7" x14ac:dyDescent="0.35">
      <c r="A252" t="s">
        <v>261</v>
      </c>
      <c r="B252" t="s">
        <v>8</v>
      </c>
      <c r="C252">
        <v>489.73585179999998</v>
      </c>
      <c r="D252">
        <v>16.389109399999999</v>
      </c>
      <c r="E252">
        <v>0.99539653699999997</v>
      </c>
      <c r="F252">
        <v>5.7272879999999997E-3</v>
      </c>
      <c r="G252">
        <v>-1.4822492507481999</v>
      </c>
    </row>
    <row r="253" spans="1:7" x14ac:dyDescent="0.35">
      <c r="A253" t="s">
        <v>262</v>
      </c>
      <c r="B253" t="s">
        <v>8</v>
      </c>
      <c r="C253">
        <v>75.352513079999994</v>
      </c>
      <c r="D253">
        <v>3.2192768140000001</v>
      </c>
      <c r="E253">
        <v>0.98191563000000004</v>
      </c>
      <c r="F253">
        <v>5.7330059999999997E-3</v>
      </c>
      <c r="G253">
        <v>-1.5045624395003201</v>
      </c>
    </row>
    <row r="254" spans="1:7" x14ac:dyDescent="0.35">
      <c r="A254" t="s">
        <v>263</v>
      </c>
      <c r="B254" t="s">
        <v>8</v>
      </c>
      <c r="C254">
        <v>2701.937351</v>
      </c>
      <c r="D254">
        <v>30.049582699999998</v>
      </c>
      <c r="E254">
        <v>0.98435313700000004</v>
      </c>
      <c r="F254">
        <v>2.4798542999999999E-2</v>
      </c>
      <c r="G254">
        <v>-1.152642927727269</v>
      </c>
    </row>
    <row r="255" spans="1:7" x14ac:dyDescent="0.35">
      <c r="A255" t="s">
        <v>264</v>
      </c>
      <c r="B255" t="s">
        <v>8</v>
      </c>
      <c r="C255">
        <v>3754.6112309999999</v>
      </c>
      <c r="D255">
        <v>46.861034510000003</v>
      </c>
      <c r="E255">
        <v>0.99243154</v>
      </c>
      <c r="F255">
        <v>4.2246289999999997E-3</v>
      </c>
      <c r="G255">
        <v>-1.334695607529925</v>
      </c>
    </row>
    <row r="256" spans="1:7" x14ac:dyDescent="0.35">
      <c r="A256" t="s">
        <v>265</v>
      </c>
      <c r="B256" t="s">
        <v>8</v>
      </c>
      <c r="C256">
        <v>10528.498750000001</v>
      </c>
      <c r="D256">
        <v>78.015776810000006</v>
      </c>
      <c r="E256">
        <v>0.99881461699999996</v>
      </c>
      <c r="F256">
        <v>3.3095910000000002E-3</v>
      </c>
      <c r="G256">
        <v>-1</v>
      </c>
    </row>
    <row r="257" spans="1:7" x14ac:dyDescent="0.35">
      <c r="A257" t="s">
        <v>266</v>
      </c>
      <c r="B257" t="s">
        <v>8</v>
      </c>
      <c r="C257">
        <v>307.58458000000002</v>
      </c>
      <c r="D257">
        <v>12.6683378</v>
      </c>
      <c r="E257">
        <v>0.995589638</v>
      </c>
      <c r="F257">
        <v>5.2037560000000004E-3</v>
      </c>
      <c r="G257">
        <v>-0.99999999999999956</v>
      </c>
    </row>
    <row r="258" spans="1:7" x14ac:dyDescent="0.35">
      <c r="A258" t="s">
        <v>267</v>
      </c>
      <c r="B258" t="s">
        <v>10</v>
      </c>
      <c r="C258">
        <v>403.93674049999998</v>
      </c>
      <c r="D258">
        <v>16.667249810000001</v>
      </c>
      <c r="E258">
        <v>0.98959574699999997</v>
      </c>
      <c r="F258">
        <v>1.1473525E-2</v>
      </c>
      <c r="G258">
        <v>-0.99999999999999978</v>
      </c>
    </row>
    <row r="259" spans="1:7" x14ac:dyDescent="0.35">
      <c r="A259" t="s">
        <v>268</v>
      </c>
      <c r="B259" t="s">
        <v>10</v>
      </c>
      <c r="C259">
        <v>4.826440066</v>
      </c>
      <c r="D259">
        <v>1.37054936</v>
      </c>
      <c r="E259">
        <v>0.99696783899999997</v>
      </c>
      <c r="F259">
        <v>4.425216E-3</v>
      </c>
      <c r="G259">
        <v>-1.0112156309843801</v>
      </c>
    </row>
    <row r="260" spans="1:7" x14ac:dyDescent="0.35">
      <c r="A260" t="s">
        <v>269</v>
      </c>
      <c r="B260" t="s">
        <v>8</v>
      </c>
      <c r="C260">
        <v>1422.3983069999999</v>
      </c>
      <c r="D260">
        <v>25.4417109</v>
      </c>
      <c r="E260">
        <v>0.99719467399999995</v>
      </c>
      <c r="F260">
        <v>3.36477E-3</v>
      </c>
      <c r="G260">
        <v>-1.1419066883449589</v>
      </c>
    </row>
    <row r="261" spans="1:7" x14ac:dyDescent="0.35">
      <c r="A261" t="s">
        <v>270</v>
      </c>
      <c r="B261" t="s">
        <v>8</v>
      </c>
      <c r="C261">
        <v>37.43553404</v>
      </c>
      <c r="D261">
        <v>4.4602932879999999</v>
      </c>
      <c r="E261">
        <v>0.987626483</v>
      </c>
      <c r="F261">
        <v>6.5167510000000003E-3</v>
      </c>
      <c r="G261">
        <v>-0.84920855438929777</v>
      </c>
    </row>
    <row r="262" spans="1:7" x14ac:dyDescent="0.35">
      <c r="A262" t="s">
        <v>271</v>
      </c>
      <c r="B262" t="s">
        <v>26</v>
      </c>
      <c r="C262">
        <v>22.167411099999999</v>
      </c>
      <c r="D262">
        <v>3.7713109939999998</v>
      </c>
      <c r="E262">
        <v>0.98825431699999999</v>
      </c>
      <c r="F262">
        <v>1.0424778237680901</v>
      </c>
      <c r="G262">
        <v>-0.99999999999999878</v>
      </c>
    </row>
    <row r="263" spans="1:7" x14ac:dyDescent="0.35">
      <c r="A263" t="s">
        <v>272</v>
      </c>
      <c r="B263" t="s">
        <v>8</v>
      </c>
      <c r="C263">
        <v>954.06600600000002</v>
      </c>
      <c r="D263">
        <v>24.085737760000001</v>
      </c>
      <c r="E263">
        <v>0.75700393600000004</v>
      </c>
      <c r="F263">
        <v>2.2418990999999999E-2</v>
      </c>
      <c r="G263">
        <v>-0.99999999999999967</v>
      </c>
    </row>
    <row r="264" spans="1:7" x14ac:dyDescent="0.35">
      <c r="A264" t="s">
        <v>273</v>
      </c>
      <c r="B264" t="s">
        <v>26</v>
      </c>
      <c r="C264">
        <v>5.9719317000000001E-2</v>
      </c>
      <c r="D264">
        <v>0.151511486</v>
      </c>
      <c r="E264">
        <v>0.88667473399999996</v>
      </c>
      <c r="F264">
        <v>5.5224873399695698</v>
      </c>
      <c r="G264">
        <v>-0.99999999999999756</v>
      </c>
    </row>
    <row r="265" spans="1:7" x14ac:dyDescent="0.35">
      <c r="A265" t="s">
        <v>274</v>
      </c>
      <c r="B265" t="s">
        <v>8</v>
      </c>
      <c r="C265">
        <v>73.802349469999996</v>
      </c>
      <c r="D265">
        <v>5.0786034329999996</v>
      </c>
      <c r="E265">
        <v>0.98625269999999998</v>
      </c>
      <c r="F265">
        <v>1.4972776E-2</v>
      </c>
      <c r="G265">
        <v>-0.99999999999999944</v>
      </c>
    </row>
    <row r="266" spans="1:7" x14ac:dyDescent="0.35">
      <c r="A266" t="s">
        <v>275</v>
      </c>
      <c r="B266" t="s">
        <v>8</v>
      </c>
      <c r="C266">
        <v>132406.36489999999</v>
      </c>
      <c r="D266">
        <v>275.01557769999999</v>
      </c>
      <c r="E266">
        <v>0.99686105599999997</v>
      </c>
      <c r="F266">
        <v>7.3178560000000002E-3</v>
      </c>
      <c r="G266">
        <v>-0.90315718933157096</v>
      </c>
    </row>
    <row r="267" spans="1:7" x14ac:dyDescent="0.35">
      <c r="A267" t="s">
        <v>276</v>
      </c>
      <c r="B267" t="s">
        <v>18</v>
      </c>
      <c r="C267">
        <v>51894.602529999996</v>
      </c>
      <c r="D267">
        <v>114.275481</v>
      </c>
      <c r="E267">
        <v>0.529796551</v>
      </c>
      <c r="F267">
        <v>128.34236189750999</v>
      </c>
      <c r="G267">
        <v>-1</v>
      </c>
    </row>
    <row r="268" spans="1:7" x14ac:dyDescent="0.35">
      <c r="A268" t="s">
        <v>277</v>
      </c>
      <c r="B268" t="s">
        <v>10</v>
      </c>
      <c r="C268">
        <v>43595.103649999997</v>
      </c>
      <c r="D268">
        <v>187.3633987</v>
      </c>
      <c r="E268">
        <v>0.89246904299999996</v>
      </c>
      <c r="F268">
        <v>0.25855716400000001</v>
      </c>
      <c r="G268">
        <v>-0.64178093899000532</v>
      </c>
    </row>
    <row r="269" spans="1:7" x14ac:dyDescent="0.35">
      <c r="A269" t="s">
        <v>278</v>
      </c>
      <c r="B269" t="s">
        <v>18</v>
      </c>
      <c r="C269">
        <v>1.4817960000000001E-3</v>
      </c>
      <c r="D269">
        <v>3.1060061E-2</v>
      </c>
      <c r="E269">
        <v>0.50967913399999998</v>
      </c>
      <c r="F269">
        <v>2.83584688650018</v>
      </c>
      <c r="G269">
        <v>-1</v>
      </c>
    </row>
    <row r="270" spans="1:7" x14ac:dyDescent="0.35">
      <c r="A270" t="s">
        <v>279</v>
      </c>
      <c r="B270" t="s">
        <v>8</v>
      </c>
      <c r="C270">
        <v>4257.159122</v>
      </c>
      <c r="D270">
        <v>46.478207279999999</v>
      </c>
      <c r="E270">
        <v>0.23548703300000001</v>
      </c>
      <c r="F270">
        <v>0.11101462199999999</v>
      </c>
      <c r="G270">
        <v>-1</v>
      </c>
    </row>
    <row r="271" spans="1:7" x14ac:dyDescent="0.35">
      <c r="A271" t="s">
        <v>280</v>
      </c>
      <c r="B271" t="s">
        <v>8</v>
      </c>
      <c r="C271">
        <v>8.9888483350000001</v>
      </c>
      <c r="D271">
        <v>2.007510989</v>
      </c>
      <c r="E271">
        <v>0.995701214</v>
      </c>
      <c r="F271">
        <v>5.5080959999999997E-3</v>
      </c>
      <c r="G271">
        <v>-1.4180341696553069</v>
      </c>
    </row>
    <row r="272" spans="1:7" x14ac:dyDescent="0.35">
      <c r="A272" t="s">
        <v>281</v>
      </c>
      <c r="B272" t="s">
        <v>8</v>
      </c>
      <c r="C272">
        <v>321.44966720000002</v>
      </c>
      <c r="D272">
        <v>13.780575349999999</v>
      </c>
      <c r="E272">
        <v>0.99557387399999997</v>
      </c>
      <c r="F272">
        <v>6.6177509999999998E-3</v>
      </c>
      <c r="G272">
        <v>-0.78077094189463814</v>
      </c>
    </row>
    <row r="273" spans="1:7" x14ac:dyDescent="0.35">
      <c r="A273" t="s">
        <v>282</v>
      </c>
      <c r="B273" t="s">
        <v>8</v>
      </c>
      <c r="C273">
        <v>11193.261780000001</v>
      </c>
      <c r="D273">
        <v>86.92762252</v>
      </c>
      <c r="E273">
        <v>0.95114474999999998</v>
      </c>
      <c r="F273">
        <v>1.9488377000000001E-2</v>
      </c>
      <c r="G273">
        <v>-1.1315817568022539</v>
      </c>
    </row>
    <row r="274" spans="1:7" x14ac:dyDescent="0.35">
      <c r="A274" t="s">
        <v>283</v>
      </c>
      <c r="B274" t="s">
        <v>8</v>
      </c>
      <c r="C274">
        <v>9.3873341890000006</v>
      </c>
      <c r="D274">
        <v>1.9661398189999999</v>
      </c>
      <c r="E274">
        <v>0.96257762099999999</v>
      </c>
      <c r="F274">
        <v>7.0689009999999998E-3</v>
      </c>
      <c r="G274">
        <v>-0.70667513385369873</v>
      </c>
    </row>
    <row r="275" spans="1:7" x14ac:dyDescent="0.35">
      <c r="A275" t="s">
        <v>284</v>
      </c>
      <c r="B275" t="s">
        <v>18</v>
      </c>
      <c r="C275">
        <v>4887.338694</v>
      </c>
      <c r="D275">
        <v>53.108537949999999</v>
      </c>
      <c r="E275">
        <v>0.99078091000000001</v>
      </c>
      <c r="F275">
        <v>0.85135996629975097</v>
      </c>
      <c r="G275">
        <v>-0.99999999999999911</v>
      </c>
    </row>
    <row r="276" spans="1:7" x14ac:dyDescent="0.35">
      <c r="A276" t="s">
        <v>285</v>
      </c>
      <c r="B276" t="s">
        <v>10</v>
      </c>
      <c r="C276">
        <v>69.253428339999999</v>
      </c>
      <c r="D276">
        <v>6.5222274630000001</v>
      </c>
      <c r="E276">
        <v>0.99504710200000002</v>
      </c>
      <c r="F276">
        <v>5.5134329999999999E-3</v>
      </c>
      <c r="G276">
        <v>-1.323034590980523</v>
      </c>
    </row>
    <row r="277" spans="1:7" x14ac:dyDescent="0.35">
      <c r="A277" t="s">
        <v>286</v>
      </c>
      <c r="B277" t="s">
        <v>26</v>
      </c>
      <c r="C277">
        <v>1384.3828209999999</v>
      </c>
      <c r="D277">
        <v>23.3304978</v>
      </c>
      <c r="E277">
        <v>0.88812517499999999</v>
      </c>
      <c r="F277">
        <v>3.3616996461496398</v>
      </c>
      <c r="G277">
        <v>-0.80000000000000038</v>
      </c>
    </row>
    <row r="278" spans="1:7" x14ac:dyDescent="0.35">
      <c r="A278" t="s">
        <v>287</v>
      </c>
      <c r="B278" t="s">
        <v>10</v>
      </c>
      <c r="C278">
        <v>20889.244640000001</v>
      </c>
      <c r="D278">
        <v>110.92023810000001</v>
      </c>
      <c r="E278">
        <v>0.99753497199999996</v>
      </c>
      <c r="F278">
        <v>4.508738E-3</v>
      </c>
      <c r="G278">
        <v>-1.089446992261492</v>
      </c>
    </row>
    <row r="279" spans="1:7" x14ac:dyDescent="0.35">
      <c r="A279" t="s">
        <v>288</v>
      </c>
      <c r="B279" t="s">
        <v>18</v>
      </c>
      <c r="C279">
        <v>31.665987770000001</v>
      </c>
      <c r="D279">
        <v>4.400410742</v>
      </c>
      <c r="E279">
        <v>0.53194544099999996</v>
      </c>
      <c r="F279">
        <v>2.5744625094635101</v>
      </c>
      <c r="G279">
        <v>-1</v>
      </c>
    </row>
    <row r="280" spans="1:7" x14ac:dyDescent="0.35">
      <c r="A280" t="s">
        <v>289</v>
      </c>
      <c r="B280" t="s">
        <v>18</v>
      </c>
      <c r="C280">
        <v>0.14120733199999999</v>
      </c>
      <c r="D280">
        <v>0.29392581800000001</v>
      </c>
      <c r="E280">
        <v>-0.79344472099999996</v>
      </c>
      <c r="F280">
        <v>18.359110616455101</v>
      </c>
      <c r="G280">
        <v>-1.0000000000000011</v>
      </c>
    </row>
    <row r="281" spans="1:7" x14ac:dyDescent="0.35">
      <c r="A281" t="s">
        <v>290</v>
      </c>
      <c r="B281" t="s">
        <v>8</v>
      </c>
      <c r="C281">
        <v>7.388530587</v>
      </c>
      <c r="D281">
        <v>1.73044189</v>
      </c>
      <c r="E281">
        <v>0.99815131000000001</v>
      </c>
      <c r="F281">
        <v>2.84125E-3</v>
      </c>
      <c r="G281">
        <v>-1.0729584558361389</v>
      </c>
    </row>
    <row r="282" spans="1:7" x14ac:dyDescent="0.35">
      <c r="A282" t="s">
        <v>291</v>
      </c>
      <c r="B282" t="s">
        <v>10</v>
      </c>
      <c r="C282">
        <v>34.245915889999999</v>
      </c>
      <c r="D282">
        <v>4.5607128970000002</v>
      </c>
      <c r="E282">
        <v>0.99848972300000005</v>
      </c>
      <c r="F282">
        <v>4.5256469999999998E-3</v>
      </c>
      <c r="G282">
        <v>-1.000000000000002</v>
      </c>
    </row>
    <row r="283" spans="1:7" x14ac:dyDescent="0.35">
      <c r="A283" t="s">
        <v>292</v>
      </c>
      <c r="B283" t="s">
        <v>18</v>
      </c>
      <c r="C283">
        <v>10.656830149999999</v>
      </c>
      <c r="D283">
        <v>2.4180726340000001</v>
      </c>
      <c r="E283">
        <v>0.88695151800000005</v>
      </c>
      <c r="F283">
        <v>1.5063979956585101</v>
      </c>
      <c r="G283">
        <v>-0.99999999999999867</v>
      </c>
    </row>
    <row r="284" spans="1:7" x14ac:dyDescent="0.35">
      <c r="A284" t="s">
        <v>293</v>
      </c>
      <c r="B284" t="s">
        <v>10</v>
      </c>
      <c r="C284">
        <v>200.04105709999999</v>
      </c>
      <c r="D284">
        <v>10.229165930000001</v>
      </c>
      <c r="E284">
        <v>0.97877255900000004</v>
      </c>
      <c r="F284">
        <v>1.4380146999999999E-2</v>
      </c>
      <c r="G284">
        <v>-0.96108208599352496</v>
      </c>
    </row>
    <row r="285" spans="1:7" x14ac:dyDescent="0.35">
      <c r="A285" t="s">
        <v>294</v>
      </c>
      <c r="B285" t="s">
        <v>10</v>
      </c>
      <c r="C285">
        <v>726.06631479999999</v>
      </c>
      <c r="D285">
        <v>21.20978903</v>
      </c>
      <c r="E285">
        <v>0.98332613000000002</v>
      </c>
      <c r="F285">
        <v>4.8461679999999997E-3</v>
      </c>
      <c r="G285">
        <v>-1.2083716055268701</v>
      </c>
    </row>
    <row r="286" spans="1:7" x14ac:dyDescent="0.35">
      <c r="A286" t="s">
        <v>295</v>
      </c>
      <c r="B286" t="s">
        <v>10</v>
      </c>
      <c r="C286">
        <v>835.25780429999998</v>
      </c>
      <c r="D286">
        <v>22.0596785</v>
      </c>
      <c r="E286">
        <v>0.99926888700000005</v>
      </c>
      <c r="F286">
        <v>2.0212369999999999E-3</v>
      </c>
      <c r="G286">
        <v>-1.6238061915665529</v>
      </c>
    </row>
    <row r="287" spans="1:7" x14ac:dyDescent="0.35">
      <c r="A287" t="s">
        <v>296</v>
      </c>
      <c r="B287" t="s">
        <v>10</v>
      </c>
      <c r="C287">
        <v>21.582172610000001</v>
      </c>
      <c r="D287">
        <v>3.7352349989999998</v>
      </c>
      <c r="E287">
        <v>0.99813624700000003</v>
      </c>
      <c r="F287">
        <v>6.587079E-3</v>
      </c>
      <c r="G287">
        <v>-1.1487125418389681</v>
      </c>
    </row>
    <row r="288" spans="1:7" x14ac:dyDescent="0.35">
      <c r="A288" t="s">
        <v>297</v>
      </c>
      <c r="B288" t="s">
        <v>26</v>
      </c>
      <c r="C288">
        <v>4.1323389620000004</v>
      </c>
      <c r="D288">
        <v>1.4801197800000001</v>
      </c>
      <c r="E288">
        <v>0.90284480600000006</v>
      </c>
      <c r="F288">
        <v>5.6107026786420899</v>
      </c>
      <c r="G288">
        <v>-1</v>
      </c>
    </row>
    <row r="289" spans="1:7" x14ac:dyDescent="0.35">
      <c r="A289" t="s">
        <v>298</v>
      </c>
      <c r="B289" t="s">
        <v>10</v>
      </c>
      <c r="C289">
        <v>488.95360670000002</v>
      </c>
      <c r="D289">
        <v>18.464400699999999</v>
      </c>
      <c r="E289">
        <v>-6.5789248990000004</v>
      </c>
      <c r="F289">
        <v>9.6211608000000004E-2</v>
      </c>
      <c r="G289">
        <v>-0.99999999999999889</v>
      </c>
    </row>
    <row r="290" spans="1:7" x14ac:dyDescent="0.35">
      <c r="A290" t="s">
        <v>299</v>
      </c>
      <c r="B290" t="s">
        <v>8</v>
      </c>
      <c r="C290">
        <v>1409953.5009999999</v>
      </c>
      <c r="D290">
        <v>656.67902449999997</v>
      </c>
      <c r="E290">
        <v>0.80114205400000005</v>
      </c>
      <c r="F290">
        <v>3.0942837000000001E-2</v>
      </c>
      <c r="G290">
        <v>-0.7082580852456265</v>
      </c>
    </row>
    <row r="291" spans="1:7" x14ac:dyDescent="0.35">
      <c r="A291" t="s">
        <v>300</v>
      </c>
      <c r="B291" t="s">
        <v>18</v>
      </c>
      <c r="C291">
        <v>2.0428206000000001E-2</v>
      </c>
      <c r="D291">
        <v>0.13676131899999999</v>
      </c>
      <c r="E291">
        <v>-13.89534692</v>
      </c>
      <c r="F291">
        <v>613.15423299891495</v>
      </c>
      <c r="G291">
        <v>-0.99999999999999889</v>
      </c>
    </row>
    <row r="292" spans="1:7" x14ac:dyDescent="0.35">
      <c r="A292" t="s">
        <v>301</v>
      </c>
      <c r="B292" t="s">
        <v>10</v>
      </c>
      <c r="C292">
        <v>36.676743549999998</v>
      </c>
      <c r="D292">
        <v>4.1130195260000004</v>
      </c>
      <c r="E292">
        <v>0.99319290599999999</v>
      </c>
      <c r="F292">
        <v>5.3674329999999996E-3</v>
      </c>
      <c r="G292">
        <v>-0.99999999999999811</v>
      </c>
    </row>
    <row r="293" spans="1:7" x14ac:dyDescent="0.35">
      <c r="A293" t="s">
        <v>302</v>
      </c>
      <c r="B293" t="s">
        <v>10</v>
      </c>
      <c r="C293">
        <v>28202.171160000002</v>
      </c>
      <c r="D293">
        <v>140.06068160000001</v>
      </c>
      <c r="E293">
        <v>0.99406310600000003</v>
      </c>
      <c r="F293">
        <v>4.4868800000000004E-3</v>
      </c>
      <c r="G293">
        <v>-1</v>
      </c>
    </row>
    <row r="294" spans="1:7" x14ac:dyDescent="0.35">
      <c r="A294" t="s">
        <v>303</v>
      </c>
      <c r="B294" t="s">
        <v>10</v>
      </c>
      <c r="C294">
        <v>1636.832639</v>
      </c>
      <c r="D294">
        <v>30.397652170000001</v>
      </c>
      <c r="E294">
        <v>0.99921444500000001</v>
      </c>
      <c r="F294">
        <v>3.9102850000000003E-3</v>
      </c>
      <c r="G294">
        <v>-1.216582614878607</v>
      </c>
    </row>
    <row r="295" spans="1:7" x14ac:dyDescent="0.35">
      <c r="A295" t="s">
        <v>304</v>
      </c>
      <c r="B295" t="s">
        <v>8</v>
      </c>
      <c r="C295">
        <v>191064.8769</v>
      </c>
      <c r="D295">
        <v>310.24733040000001</v>
      </c>
      <c r="E295">
        <v>0.96851361499999999</v>
      </c>
      <c r="F295">
        <v>1.9719995000000001E-2</v>
      </c>
      <c r="G295">
        <v>-1</v>
      </c>
    </row>
    <row r="296" spans="1:7" x14ac:dyDescent="0.35">
      <c r="A296" t="s">
        <v>305</v>
      </c>
      <c r="B296" t="s">
        <v>8</v>
      </c>
      <c r="C296">
        <v>3471.66968</v>
      </c>
      <c r="D296">
        <v>46.181049799999997</v>
      </c>
      <c r="E296">
        <v>0.84297986700000005</v>
      </c>
      <c r="F296">
        <v>2.5658337999999999E-2</v>
      </c>
      <c r="G296">
        <v>-1.119619024711983</v>
      </c>
    </row>
    <row r="297" spans="1:7" x14ac:dyDescent="0.35">
      <c r="A297" t="s">
        <v>306</v>
      </c>
      <c r="B297" t="s">
        <v>10</v>
      </c>
      <c r="C297">
        <v>157.25720580000001</v>
      </c>
      <c r="D297">
        <v>8.9226841409999995</v>
      </c>
      <c r="E297">
        <v>0.99721078200000002</v>
      </c>
      <c r="F297">
        <v>6.9085459999999998E-3</v>
      </c>
      <c r="G297">
        <v>-1.317802081703455</v>
      </c>
    </row>
    <row r="298" spans="1:7" x14ac:dyDescent="0.35">
      <c r="A298" t="s">
        <v>307</v>
      </c>
      <c r="B298" t="s">
        <v>8</v>
      </c>
      <c r="C298">
        <v>0.23379092400000001</v>
      </c>
      <c r="D298">
        <v>0.34046107599999997</v>
      </c>
      <c r="E298">
        <v>0.998450748</v>
      </c>
      <c r="F298">
        <v>1.726946E-3</v>
      </c>
      <c r="G298">
        <v>-1</v>
      </c>
    </row>
    <row r="299" spans="1:7" x14ac:dyDescent="0.35">
      <c r="A299" t="s">
        <v>308</v>
      </c>
      <c r="B299" t="s">
        <v>10</v>
      </c>
      <c r="C299">
        <v>134.1033027</v>
      </c>
      <c r="D299">
        <v>7.536186185</v>
      </c>
      <c r="E299">
        <v>0.80640469699999995</v>
      </c>
      <c r="F299">
        <v>1.292126213</v>
      </c>
      <c r="G299">
        <v>-1.4346964878937201</v>
      </c>
    </row>
    <row r="300" spans="1:7" x14ac:dyDescent="0.35">
      <c r="A300" t="s">
        <v>309</v>
      </c>
      <c r="B300" t="s">
        <v>10</v>
      </c>
      <c r="C300">
        <v>382.53732969999999</v>
      </c>
      <c r="D300">
        <v>15.20098722</v>
      </c>
      <c r="E300">
        <v>0.97671598299999995</v>
      </c>
      <c r="F300">
        <v>1.3044722E-2</v>
      </c>
      <c r="G300">
        <v>-0.98038328891060211</v>
      </c>
    </row>
    <row r="301" spans="1:7" x14ac:dyDescent="0.35">
      <c r="A301" t="s">
        <v>310</v>
      </c>
      <c r="B301" t="s">
        <v>18</v>
      </c>
      <c r="C301">
        <v>390.42858819999998</v>
      </c>
      <c r="D301">
        <v>11.7339155</v>
      </c>
      <c r="E301">
        <v>-0.171322325</v>
      </c>
      <c r="F301">
        <v>297.09951659415799</v>
      </c>
      <c r="G301">
        <v>-0.79999999999999793</v>
      </c>
    </row>
    <row r="302" spans="1:7" x14ac:dyDescent="0.35">
      <c r="A302" t="s">
        <v>311</v>
      </c>
      <c r="B302" t="s">
        <v>8</v>
      </c>
      <c r="C302">
        <v>1.0953815339999999</v>
      </c>
      <c r="D302">
        <v>0.67470363899999997</v>
      </c>
      <c r="E302">
        <v>0.99198347200000003</v>
      </c>
      <c r="F302">
        <v>5.3824579999999997E-3</v>
      </c>
      <c r="G302">
        <v>-1.0284827872446349</v>
      </c>
    </row>
    <row r="303" spans="1:7" x14ac:dyDescent="0.35">
      <c r="A303" t="s">
        <v>312</v>
      </c>
      <c r="B303" t="s">
        <v>8</v>
      </c>
      <c r="C303">
        <v>12.99361197</v>
      </c>
      <c r="D303">
        <v>2.9775594920000001</v>
      </c>
      <c r="E303">
        <v>0.97979051100000003</v>
      </c>
      <c r="F303">
        <v>4.1180829999999998E-3</v>
      </c>
      <c r="G303">
        <v>-0.73734788023908504</v>
      </c>
    </row>
    <row r="304" spans="1:7" x14ac:dyDescent="0.35">
      <c r="A304" t="s">
        <v>313</v>
      </c>
      <c r="B304" t="s">
        <v>8</v>
      </c>
      <c r="C304">
        <v>15.114912240000001</v>
      </c>
      <c r="D304">
        <v>2.8802061490000002</v>
      </c>
      <c r="E304">
        <v>0.99319351199999995</v>
      </c>
      <c r="F304">
        <v>1.1241206E-2</v>
      </c>
      <c r="G304">
        <v>-0.99999999999999978</v>
      </c>
    </row>
    <row r="305" spans="1:7" x14ac:dyDescent="0.35">
      <c r="A305" t="s">
        <v>314</v>
      </c>
      <c r="B305" t="s">
        <v>8</v>
      </c>
      <c r="C305">
        <v>71.630787459999993</v>
      </c>
      <c r="D305">
        <v>5.8595704389999996</v>
      </c>
      <c r="E305">
        <v>0.89485586299999997</v>
      </c>
      <c r="F305">
        <v>4.4894490000000004E-3</v>
      </c>
      <c r="G305">
        <v>-0.81585509591780936</v>
      </c>
    </row>
    <row r="306" spans="1:7" x14ac:dyDescent="0.35">
      <c r="A306" t="s">
        <v>315</v>
      </c>
      <c r="B306" t="s">
        <v>8</v>
      </c>
      <c r="C306">
        <v>1745.2004529999999</v>
      </c>
      <c r="D306">
        <v>16.356677470000001</v>
      </c>
      <c r="E306">
        <v>-4.2731595200000001</v>
      </c>
      <c r="F306">
        <v>0.137717178</v>
      </c>
      <c r="G306">
        <v>-0.99999999999999978</v>
      </c>
    </row>
    <row r="307" spans="1:7" x14ac:dyDescent="0.35">
      <c r="A307" t="s">
        <v>316</v>
      </c>
      <c r="B307" t="s">
        <v>8</v>
      </c>
      <c r="C307">
        <v>11.42272191</v>
      </c>
      <c r="D307">
        <v>2.7799196629999998</v>
      </c>
      <c r="E307">
        <v>0.96375099600000003</v>
      </c>
      <c r="F307">
        <v>7.6153810000000001E-3</v>
      </c>
      <c r="G307">
        <v>-1.040902022456045</v>
      </c>
    </row>
    <row r="308" spans="1:7" x14ac:dyDescent="0.35">
      <c r="A308" t="s">
        <v>317</v>
      </c>
      <c r="B308" t="s">
        <v>8</v>
      </c>
      <c r="C308">
        <v>80801.090360000002</v>
      </c>
      <c r="D308">
        <v>78.182528399999995</v>
      </c>
      <c r="E308">
        <v>-7.4777892870000002</v>
      </c>
      <c r="F308">
        <v>8.5946779000000001E-2</v>
      </c>
      <c r="G308">
        <v>2.4980018054066022E-16</v>
      </c>
    </row>
    <row r="309" spans="1:7" x14ac:dyDescent="0.35">
      <c r="A309" t="s">
        <v>318</v>
      </c>
      <c r="B309" t="s">
        <v>8</v>
      </c>
      <c r="C309">
        <v>3504.2087430000001</v>
      </c>
      <c r="D309">
        <v>51.046784459999998</v>
      </c>
      <c r="E309">
        <v>0.99402823699999998</v>
      </c>
      <c r="F309">
        <v>5.9612019999999996E-3</v>
      </c>
      <c r="G309">
        <v>-1.1892925399890339</v>
      </c>
    </row>
    <row r="310" spans="1:7" x14ac:dyDescent="0.35">
      <c r="A310" t="s">
        <v>319</v>
      </c>
      <c r="B310" t="s">
        <v>8</v>
      </c>
      <c r="C310">
        <v>19.04746742</v>
      </c>
      <c r="D310">
        <v>3.6549306009999998</v>
      </c>
      <c r="E310">
        <v>0.99640389399999996</v>
      </c>
      <c r="F310">
        <v>3.4512470000000002E-3</v>
      </c>
      <c r="G310">
        <v>-1.59158330084751</v>
      </c>
    </row>
    <row r="311" spans="1:7" x14ac:dyDescent="0.35">
      <c r="A311" t="s">
        <v>320</v>
      </c>
      <c r="B311" t="s">
        <v>18</v>
      </c>
      <c r="C311">
        <v>91.153851029999998</v>
      </c>
      <c r="D311">
        <v>3.5721550500000001</v>
      </c>
      <c r="E311">
        <v>0.40692237599999997</v>
      </c>
      <c r="F311">
        <v>432.86298502124299</v>
      </c>
      <c r="G311">
        <v>-0.99999999999999978</v>
      </c>
    </row>
    <row r="312" spans="1:7" x14ac:dyDescent="0.35">
      <c r="A312" t="s">
        <v>321</v>
      </c>
      <c r="B312" t="s">
        <v>8</v>
      </c>
      <c r="C312">
        <v>104853.62820000001</v>
      </c>
      <c r="D312">
        <v>282.41517950000002</v>
      </c>
      <c r="E312">
        <v>0.919639384</v>
      </c>
      <c r="F312">
        <v>1.7125702E-2</v>
      </c>
      <c r="G312">
        <v>-0.9401145282631268</v>
      </c>
    </row>
    <row r="313" spans="1:7" x14ac:dyDescent="0.35">
      <c r="A313" t="s">
        <v>322</v>
      </c>
      <c r="B313" t="s">
        <v>8</v>
      </c>
      <c r="C313">
        <v>55501.199849999997</v>
      </c>
      <c r="D313">
        <v>167.11917740000001</v>
      </c>
      <c r="E313">
        <v>0.87292255100000005</v>
      </c>
      <c r="F313">
        <v>3.8767451000000001E-2</v>
      </c>
      <c r="G313">
        <v>-1.427298676134251</v>
      </c>
    </row>
    <row r="314" spans="1:7" x14ac:dyDescent="0.35">
      <c r="A314" t="s">
        <v>323</v>
      </c>
      <c r="B314" t="s">
        <v>10</v>
      </c>
      <c r="C314">
        <v>712.59719529999995</v>
      </c>
      <c r="D314">
        <v>17.002290330000001</v>
      </c>
      <c r="E314">
        <v>0.96783018799999998</v>
      </c>
      <c r="F314">
        <v>7.1855879999999997E-3</v>
      </c>
      <c r="G314">
        <v>-1.006915899274101</v>
      </c>
    </row>
    <row r="315" spans="1:7" x14ac:dyDescent="0.35">
      <c r="A315" t="s">
        <v>324</v>
      </c>
      <c r="B315" t="s">
        <v>8</v>
      </c>
      <c r="C315">
        <v>222257.1881</v>
      </c>
      <c r="D315">
        <v>372.09997279999999</v>
      </c>
      <c r="E315">
        <v>0.98981751500000004</v>
      </c>
      <c r="F315">
        <v>6.1363620000000002E-3</v>
      </c>
      <c r="G315">
        <v>-1.4104128295785601</v>
      </c>
    </row>
    <row r="316" spans="1:7" x14ac:dyDescent="0.35">
      <c r="A316" t="s">
        <v>325</v>
      </c>
      <c r="B316" t="s">
        <v>10</v>
      </c>
      <c r="C316">
        <v>237.83273249999999</v>
      </c>
      <c r="D316">
        <v>11.97809537</v>
      </c>
      <c r="E316">
        <v>0.98663984400000004</v>
      </c>
      <c r="F316">
        <v>8.7753250000000005E-3</v>
      </c>
      <c r="G316">
        <v>-0.2000000000000019</v>
      </c>
    </row>
    <row r="317" spans="1:7" x14ac:dyDescent="0.35">
      <c r="A317" t="s">
        <v>326</v>
      </c>
      <c r="B317" t="s">
        <v>8</v>
      </c>
      <c r="C317">
        <v>122.40484669999999</v>
      </c>
      <c r="D317">
        <v>8.3107172929999997</v>
      </c>
      <c r="E317">
        <v>0.99835421199999996</v>
      </c>
      <c r="F317">
        <v>9.4541899999999997E-4</v>
      </c>
      <c r="G317">
        <v>-1.2152390630686249</v>
      </c>
    </row>
    <row r="318" spans="1:7" x14ac:dyDescent="0.35">
      <c r="A318" t="s">
        <v>327</v>
      </c>
      <c r="B318" t="s">
        <v>8</v>
      </c>
      <c r="C318">
        <v>154.1239085</v>
      </c>
      <c r="D318">
        <v>9.7093583240000001</v>
      </c>
      <c r="E318">
        <v>0.86421019899999996</v>
      </c>
      <c r="F318">
        <v>3.0541714000000001E-2</v>
      </c>
      <c r="G318">
        <v>-0.99999999999999967</v>
      </c>
    </row>
    <row r="319" spans="1:7" x14ac:dyDescent="0.35">
      <c r="A319" t="s">
        <v>328</v>
      </c>
      <c r="B319" t="s">
        <v>10</v>
      </c>
      <c r="C319">
        <v>252.25983339999999</v>
      </c>
      <c r="D319">
        <v>12.580090480000001</v>
      </c>
      <c r="E319">
        <v>0.98913468299999996</v>
      </c>
      <c r="F319">
        <v>1.0021545E-2</v>
      </c>
      <c r="G319">
        <v>-1.5381592973853959</v>
      </c>
    </row>
    <row r="320" spans="1:7" x14ac:dyDescent="0.35">
      <c r="A320" t="s">
        <v>329</v>
      </c>
      <c r="B320" t="s">
        <v>18</v>
      </c>
      <c r="C320">
        <v>139.2879126</v>
      </c>
      <c r="D320">
        <v>9.2100483799999999</v>
      </c>
      <c r="E320">
        <v>0.98596461499999999</v>
      </c>
      <c r="F320">
        <v>0.83227548134514195</v>
      </c>
      <c r="G320">
        <v>-0.82336530003708874</v>
      </c>
    </row>
    <row r="321" spans="1:7" x14ac:dyDescent="0.35">
      <c r="A321" t="s">
        <v>330</v>
      </c>
      <c r="B321" t="s">
        <v>10</v>
      </c>
      <c r="C321">
        <v>1758.6357909999999</v>
      </c>
      <c r="D321">
        <v>33.161180989999998</v>
      </c>
      <c r="E321">
        <v>0.99823176599999996</v>
      </c>
      <c r="F321">
        <v>4.0042489999999997E-3</v>
      </c>
      <c r="G321">
        <v>-1.166422808412648</v>
      </c>
    </row>
    <row r="322" spans="1:7" x14ac:dyDescent="0.35">
      <c r="A322" t="s">
        <v>331</v>
      </c>
      <c r="B322" t="s">
        <v>8</v>
      </c>
      <c r="C322">
        <v>34.46494276</v>
      </c>
      <c r="D322">
        <v>4.736681892</v>
      </c>
      <c r="E322">
        <v>0.61466383499999999</v>
      </c>
      <c r="F322">
        <v>1.7864841999999999E-2</v>
      </c>
      <c r="G322">
        <v>-1.2170805777308491</v>
      </c>
    </row>
    <row r="323" spans="1:7" x14ac:dyDescent="0.35">
      <c r="A323" t="s">
        <v>332</v>
      </c>
      <c r="B323" t="s">
        <v>8</v>
      </c>
      <c r="C323">
        <v>17645.644240000001</v>
      </c>
      <c r="D323">
        <v>89.275517739999998</v>
      </c>
      <c r="E323">
        <v>0.99790201899999997</v>
      </c>
      <c r="F323">
        <v>8.0585380000000005E-3</v>
      </c>
      <c r="G323">
        <v>-0.96883303746600702</v>
      </c>
    </row>
    <row r="324" spans="1:7" x14ac:dyDescent="0.35">
      <c r="A324" t="s">
        <v>333</v>
      </c>
      <c r="B324" t="s">
        <v>8</v>
      </c>
      <c r="C324">
        <v>14321.21235</v>
      </c>
      <c r="D324">
        <v>67.452486179999994</v>
      </c>
      <c r="E324">
        <v>-2.2094564609999998</v>
      </c>
      <c r="F324">
        <v>0.101164165</v>
      </c>
      <c r="G324">
        <v>-0.90491784147592891</v>
      </c>
    </row>
    <row r="325" spans="1:7" x14ac:dyDescent="0.35">
      <c r="A325" t="s">
        <v>334</v>
      </c>
      <c r="B325" t="s">
        <v>8</v>
      </c>
      <c r="C325">
        <v>1.707272651</v>
      </c>
      <c r="D325">
        <v>0.99697688799999995</v>
      </c>
      <c r="E325">
        <v>0.99158900999999999</v>
      </c>
      <c r="F325">
        <v>5.9516220000000002E-3</v>
      </c>
      <c r="G325">
        <v>-1.557437463770095</v>
      </c>
    </row>
    <row r="326" spans="1:7" x14ac:dyDescent="0.35">
      <c r="A326" t="s">
        <v>335</v>
      </c>
      <c r="B326" t="s">
        <v>8</v>
      </c>
      <c r="C326">
        <v>8552636.9039999992</v>
      </c>
      <c r="D326">
        <v>1208.6228289999999</v>
      </c>
      <c r="E326">
        <v>0.88647472599999999</v>
      </c>
      <c r="F326">
        <v>1.4774806999999999E-2</v>
      </c>
      <c r="G326">
        <v>-1.0267480888055689</v>
      </c>
    </row>
    <row r="327" spans="1:7" x14ac:dyDescent="0.35">
      <c r="A327" t="s">
        <v>336</v>
      </c>
      <c r="B327" t="s">
        <v>18</v>
      </c>
      <c r="C327">
        <v>440.61421100000001</v>
      </c>
      <c r="D327">
        <v>18.407327850000001</v>
      </c>
      <c r="E327">
        <v>-3.4952981310000002</v>
      </c>
      <c r="F327">
        <v>35.749957985365199</v>
      </c>
      <c r="G327">
        <v>-1</v>
      </c>
    </row>
    <row r="328" spans="1:7" x14ac:dyDescent="0.35">
      <c r="A328" t="s">
        <v>337</v>
      </c>
      <c r="B328" t="s">
        <v>8</v>
      </c>
      <c r="C328">
        <v>609.75117</v>
      </c>
      <c r="D328">
        <v>20.303048449999999</v>
      </c>
      <c r="E328">
        <v>0.96644529999999995</v>
      </c>
      <c r="F328">
        <v>1.645288E-2</v>
      </c>
      <c r="G328">
        <v>-1.403683690269961</v>
      </c>
    </row>
    <row r="329" spans="1:7" x14ac:dyDescent="0.35">
      <c r="A329" t="s">
        <v>338</v>
      </c>
      <c r="B329" t="s">
        <v>10</v>
      </c>
      <c r="C329">
        <v>46207.141049999998</v>
      </c>
      <c r="D329">
        <v>206.65083680000001</v>
      </c>
      <c r="E329">
        <v>-77.774458089999996</v>
      </c>
      <c r="F329">
        <v>1.3266599489999999</v>
      </c>
      <c r="G329">
        <v>-0.81021181964202804</v>
      </c>
    </row>
    <row r="330" spans="1:7" x14ac:dyDescent="0.35">
      <c r="A330" t="s">
        <v>339</v>
      </c>
      <c r="B330" t="s">
        <v>8</v>
      </c>
      <c r="C330">
        <v>28.140372859999999</v>
      </c>
      <c r="D330">
        <v>3.5305607659999998</v>
      </c>
      <c r="E330">
        <v>-2.7664320000000001E-3</v>
      </c>
      <c r="F330">
        <v>5.2161259000000001E-2</v>
      </c>
      <c r="G330">
        <v>-0.83965976633743411</v>
      </c>
    </row>
    <row r="331" spans="1:7" x14ac:dyDescent="0.35">
      <c r="A331" t="s">
        <v>340</v>
      </c>
      <c r="B331" t="s">
        <v>18</v>
      </c>
      <c r="C331">
        <v>567.55519260000005</v>
      </c>
      <c r="D331">
        <v>22.466643520000002</v>
      </c>
      <c r="E331">
        <v>-12.06736021</v>
      </c>
      <c r="F331">
        <v>47.957028513118203</v>
      </c>
      <c r="G331">
        <v>-0.99999999999999556</v>
      </c>
    </row>
    <row r="332" spans="1:7" x14ac:dyDescent="0.35">
      <c r="A332" t="s">
        <v>341</v>
      </c>
      <c r="B332" t="s">
        <v>8</v>
      </c>
      <c r="C332">
        <v>8.3789823729999995</v>
      </c>
      <c r="D332">
        <v>1.7556675770000001</v>
      </c>
      <c r="E332">
        <v>0.95454485899999997</v>
      </c>
      <c r="F332">
        <v>2.1351915999999999E-2</v>
      </c>
      <c r="G332">
        <v>-1.108938729691832</v>
      </c>
    </row>
    <row r="333" spans="1:7" x14ac:dyDescent="0.35">
      <c r="A333" t="s">
        <v>342</v>
      </c>
      <c r="B333" t="s">
        <v>26</v>
      </c>
      <c r="C333">
        <v>125.0002576</v>
      </c>
      <c r="D333">
        <v>8.7885058090000001</v>
      </c>
      <c r="E333">
        <v>0.97784954899999998</v>
      </c>
      <c r="F333">
        <v>1.2468058229399499</v>
      </c>
      <c r="G333">
        <v>-0.99999999999996059</v>
      </c>
    </row>
    <row r="334" spans="1:7" x14ac:dyDescent="0.35">
      <c r="A334" t="s">
        <v>343</v>
      </c>
      <c r="B334" t="s">
        <v>10</v>
      </c>
      <c r="C334">
        <v>19270.195950000001</v>
      </c>
      <c r="D334">
        <v>86.404350809999997</v>
      </c>
      <c r="E334">
        <v>0.99188030900000002</v>
      </c>
      <c r="F334">
        <v>7.0733860000000001E-3</v>
      </c>
      <c r="G334">
        <v>-1</v>
      </c>
    </row>
    <row r="335" spans="1:7" x14ac:dyDescent="0.35">
      <c r="A335" t="s">
        <v>344</v>
      </c>
      <c r="B335" t="s">
        <v>10</v>
      </c>
      <c r="C335">
        <v>3810.1436309999999</v>
      </c>
      <c r="D335">
        <v>44.809003320000002</v>
      </c>
      <c r="E335">
        <v>0.99394369199999999</v>
      </c>
      <c r="F335">
        <v>6.8057500000000002E-3</v>
      </c>
      <c r="G335">
        <v>-0.99999999999999933</v>
      </c>
    </row>
    <row r="336" spans="1:7" x14ac:dyDescent="0.35">
      <c r="A336" t="s">
        <v>345</v>
      </c>
      <c r="B336" t="s">
        <v>10</v>
      </c>
      <c r="C336">
        <v>4.0292031740000001</v>
      </c>
      <c r="D336">
        <v>1.6381961060000001</v>
      </c>
      <c r="E336">
        <v>0.99545309599999998</v>
      </c>
      <c r="F336">
        <v>8.0131290000000008E-3</v>
      </c>
      <c r="G336">
        <v>-0.9800358339062909</v>
      </c>
    </row>
    <row r="337" spans="1:7" x14ac:dyDescent="0.35">
      <c r="A337" t="s">
        <v>346</v>
      </c>
      <c r="B337" t="s">
        <v>8</v>
      </c>
      <c r="C337">
        <v>188.94411579999999</v>
      </c>
      <c r="D337">
        <v>9.5091154109999998</v>
      </c>
      <c r="E337">
        <v>0.99132433799999997</v>
      </c>
      <c r="F337">
        <v>3.1413090000000001E-3</v>
      </c>
      <c r="G337">
        <v>-1.585182441694992</v>
      </c>
    </row>
    <row r="338" spans="1:7" x14ac:dyDescent="0.35">
      <c r="A338" t="s">
        <v>347</v>
      </c>
      <c r="B338" t="s">
        <v>8</v>
      </c>
      <c r="C338">
        <v>209.73271500000001</v>
      </c>
      <c r="D338">
        <v>6.8048343549999997</v>
      </c>
      <c r="E338">
        <v>0.85148305599999996</v>
      </c>
      <c r="F338">
        <v>1.2092597E-2</v>
      </c>
      <c r="G338">
        <v>-1.0220983623017439</v>
      </c>
    </row>
    <row r="339" spans="1:7" x14ac:dyDescent="0.35">
      <c r="A339" t="s">
        <v>348</v>
      </c>
      <c r="B339" t="s">
        <v>10</v>
      </c>
      <c r="C339">
        <v>15001.582759999999</v>
      </c>
      <c r="D339">
        <v>103.2941526</v>
      </c>
      <c r="E339">
        <v>0.99779370700000003</v>
      </c>
      <c r="F339">
        <v>3.8889229999999999E-3</v>
      </c>
      <c r="G339">
        <v>-1.3417294823278481</v>
      </c>
    </row>
    <row r="340" spans="1:7" x14ac:dyDescent="0.35">
      <c r="A340" t="s">
        <v>349</v>
      </c>
      <c r="B340" t="s">
        <v>26</v>
      </c>
      <c r="C340">
        <v>1.086243812</v>
      </c>
      <c r="D340">
        <v>0.709402584</v>
      </c>
      <c r="E340">
        <v>0.95676154099999999</v>
      </c>
      <c r="F340">
        <v>1.17215293429047</v>
      </c>
      <c r="G340">
        <v>-0.99999999999999589</v>
      </c>
    </row>
    <row r="341" spans="1:7" x14ac:dyDescent="0.35">
      <c r="A341" t="s">
        <v>350</v>
      </c>
      <c r="B341" t="s">
        <v>10</v>
      </c>
      <c r="C341">
        <v>11526.17721</v>
      </c>
      <c r="D341">
        <v>77.705957380000001</v>
      </c>
      <c r="E341">
        <v>0.93123444099999997</v>
      </c>
      <c r="F341">
        <v>2.5146056999999999E-2</v>
      </c>
      <c r="G341">
        <v>-0.71725298385458225</v>
      </c>
    </row>
    <row r="342" spans="1:7" x14ac:dyDescent="0.35">
      <c r="A342" t="s">
        <v>351</v>
      </c>
      <c r="B342" t="s">
        <v>8</v>
      </c>
      <c r="C342">
        <v>1087.5976559999999</v>
      </c>
      <c r="D342">
        <v>20.472693240000002</v>
      </c>
      <c r="E342">
        <v>0.98182205899999997</v>
      </c>
      <c r="F342">
        <v>9.0569569999999992E-3</v>
      </c>
      <c r="G342">
        <v>-1.550404314033285</v>
      </c>
    </row>
    <row r="343" spans="1:7" x14ac:dyDescent="0.35">
      <c r="A343" t="s">
        <v>352</v>
      </c>
      <c r="B343" t="s">
        <v>8</v>
      </c>
      <c r="C343">
        <v>0.32667437300000002</v>
      </c>
      <c r="D343">
        <v>0.429391729</v>
      </c>
      <c r="E343">
        <v>0.99145715099999998</v>
      </c>
      <c r="F343">
        <v>4.2911709999999999E-3</v>
      </c>
      <c r="G343">
        <v>-1.0187303494886419</v>
      </c>
    </row>
    <row r="344" spans="1:7" x14ac:dyDescent="0.35">
      <c r="A344" t="s">
        <v>353</v>
      </c>
      <c r="B344" t="s">
        <v>18</v>
      </c>
      <c r="C344">
        <v>0.14090519100000001</v>
      </c>
      <c r="D344">
        <v>0.31358439999999999</v>
      </c>
      <c r="E344">
        <v>0.85011574499999998</v>
      </c>
      <c r="F344">
        <v>3.4934634401981199</v>
      </c>
      <c r="G344">
        <v>-0.99999999999999978</v>
      </c>
    </row>
    <row r="345" spans="1:7" x14ac:dyDescent="0.35">
      <c r="A345" t="s">
        <v>354</v>
      </c>
      <c r="B345" t="s">
        <v>8</v>
      </c>
      <c r="C345">
        <v>85.767834739999998</v>
      </c>
      <c r="D345">
        <v>6.1799777249999996</v>
      </c>
      <c r="E345">
        <v>0.99421049100000003</v>
      </c>
      <c r="F345">
        <v>6.0192450000000003E-3</v>
      </c>
      <c r="G345">
        <v>-1.593200419545578</v>
      </c>
    </row>
    <row r="346" spans="1:7" x14ac:dyDescent="0.35">
      <c r="A346" t="s">
        <v>355</v>
      </c>
      <c r="B346" t="s">
        <v>10</v>
      </c>
      <c r="C346">
        <v>3433.2173910000001</v>
      </c>
      <c r="D346">
        <v>26.657398090000001</v>
      </c>
      <c r="E346">
        <v>0.78686902000000003</v>
      </c>
      <c r="F346">
        <v>3.1267887000000001E-2</v>
      </c>
      <c r="G346">
        <v>-1.006913639475465</v>
      </c>
    </row>
    <row r="347" spans="1:7" x14ac:dyDescent="0.35">
      <c r="A347" t="s">
        <v>356</v>
      </c>
      <c r="B347" t="s">
        <v>8</v>
      </c>
      <c r="C347">
        <v>1.82775482</v>
      </c>
      <c r="D347">
        <v>0.79896647399999998</v>
      </c>
      <c r="E347">
        <v>0.99875392900000004</v>
      </c>
      <c r="F347">
        <v>2.0893219999999998E-3</v>
      </c>
      <c r="G347">
        <v>-0.75897882842941833</v>
      </c>
    </row>
    <row r="348" spans="1:7" x14ac:dyDescent="0.35">
      <c r="A348" t="s">
        <v>357</v>
      </c>
      <c r="B348" t="s">
        <v>8</v>
      </c>
      <c r="C348">
        <v>2590.990131</v>
      </c>
      <c r="D348">
        <v>38.514555620000003</v>
      </c>
      <c r="E348">
        <v>0.972984497</v>
      </c>
      <c r="F348">
        <v>5.5942509999999997E-3</v>
      </c>
      <c r="G348">
        <v>-0.99999999999999967</v>
      </c>
    </row>
    <row r="349" spans="1:7" x14ac:dyDescent="0.35">
      <c r="A349" t="s">
        <v>358</v>
      </c>
      <c r="B349" t="s">
        <v>8</v>
      </c>
      <c r="C349">
        <v>2161007.6120000002</v>
      </c>
      <c r="D349">
        <v>1038.7417620000001</v>
      </c>
      <c r="E349">
        <v>0.92505491200000001</v>
      </c>
      <c r="F349">
        <v>2.0563938E-2</v>
      </c>
      <c r="G349">
        <v>-1.1964328887974569</v>
      </c>
    </row>
    <row r="350" spans="1:7" x14ac:dyDescent="0.35">
      <c r="A350" t="s">
        <v>359</v>
      </c>
      <c r="B350" t="s">
        <v>8</v>
      </c>
      <c r="C350">
        <v>2619.4669260000001</v>
      </c>
      <c r="D350">
        <v>41.179097370000001</v>
      </c>
      <c r="E350">
        <v>0.73787328900000004</v>
      </c>
      <c r="F350">
        <v>5.0593011E-2</v>
      </c>
      <c r="G350">
        <v>-0.99999999999999978</v>
      </c>
    </row>
    <row r="351" spans="1:7" x14ac:dyDescent="0.35">
      <c r="A351" t="s">
        <v>360</v>
      </c>
      <c r="B351" t="s">
        <v>18</v>
      </c>
      <c r="C351">
        <v>2.872662015</v>
      </c>
      <c r="D351">
        <v>1.242946391</v>
      </c>
      <c r="E351">
        <v>0.99460705299999996</v>
      </c>
      <c r="F351">
        <v>0.79375508748496104</v>
      </c>
      <c r="G351">
        <v>-1.000000000000004</v>
      </c>
    </row>
    <row r="352" spans="1:7" x14ac:dyDescent="0.35">
      <c r="A352" t="s">
        <v>361</v>
      </c>
      <c r="B352" t="s">
        <v>10</v>
      </c>
      <c r="C352">
        <v>9597.2678799999994</v>
      </c>
      <c r="D352">
        <v>41.307629220000003</v>
      </c>
      <c r="E352">
        <v>0.60082418900000001</v>
      </c>
      <c r="F352">
        <v>1.3031318E-2</v>
      </c>
      <c r="G352">
        <v>-0.99999999999999989</v>
      </c>
    </row>
    <row r="353" spans="1:7" x14ac:dyDescent="0.35">
      <c r="A353" t="s">
        <v>362</v>
      </c>
      <c r="B353" t="s">
        <v>26</v>
      </c>
      <c r="C353">
        <v>236913.1447</v>
      </c>
      <c r="D353">
        <v>292.71009650000002</v>
      </c>
      <c r="E353">
        <v>-5.7550111000000001E-2</v>
      </c>
      <c r="F353">
        <v>6.7609468684015699</v>
      </c>
      <c r="G353">
        <v>-0.99999999999999956</v>
      </c>
    </row>
    <row r="354" spans="1:7" x14ac:dyDescent="0.35">
      <c r="A354" t="s">
        <v>363</v>
      </c>
      <c r="B354" t="s">
        <v>10</v>
      </c>
      <c r="C354">
        <v>540.58071240000004</v>
      </c>
      <c r="D354">
        <v>19.011746970000001</v>
      </c>
      <c r="E354">
        <v>0.97369515500000003</v>
      </c>
      <c r="F354">
        <v>6.3238840000000001E-3</v>
      </c>
      <c r="G354">
        <v>-0.50154181375074347</v>
      </c>
    </row>
    <row r="355" spans="1:7" x14ac:dyDescent="0.35">
      <c r="A355" t="s">
        <v>364</v>
      </c>
      <c r="B355" t="s">
        <v>26</v>
      </c>
      <c r="C355">
        <v>2592.2476830000001</v>
      </c>
      <c r="D355">
        <v>33.035741960000003</v>
      </c>
      <c r="E355">
        <v>0.80237370100000005</v>
      </c>
      <c r="F355">
        <v>928.75735771775203</v>
      </c>
      <c r="G355">
        <v>-0.99999999999999956</v>
      </c>
    </row>
    <row r="356" spans="1:7" x14ac:dyDescent="0.35">
      <c r="A356" t="s">
        <v>365</v>
      </c>
      <c r="B356" t="s">
        <v>8</v>
      </c>
      <c r="C356">
        <v>1244.012279</v>
      </c>
      <c r="D356">
        <v>20.188705970000001</v>
      </c>
      <c r="E356">
        <v>0.920028183</v>
      </c>
      <c r="F356">
        <v>1.0737784239999999</v>
      </c>
      <c r="G356">
        <v>-1.1563478307411419</v>
      </c>
    </row>
    <row r="357" spans="1:7" x14ac:dyDescent="0.35">
      <c r="A357" t="s">
        <v>366</v>
      </c>
      <c r="B357" t="s">
        <v>10</v>
      </c>
      <c r="C357">
        <v>4558.0405019999998</v>
      </c>
      <c r="D357">
        <v>40.415493099999999</v>
      </c>
      <c r="E357">
        <v>-0.95745174099999997</v>
      </c>
      <c r="F357">
        <v>0.17569601000000001</v>
      </c>
      <c r="G357">
        <v>-1</v>
      </c>
    </row>
    <row r="358" spans="1:7" x14ac:dyDescent="0.35">
      <c r="A358" t="s">
        <v>367</v>
      </c>
      <c r="B358" t="s">
        <v>8</v>
      </c>
      <c r="C358">
        <v>271930.55959999998</v>
      </c>
      <c r="D358">
        <v>400.0649909</v>
      </c>
      <c r="E358">
        <v>0.83118779099999995</v>
      </c>
      <c r="F358">
        <v>4.4462703999999999E-2</v>
      </c>
      <c r="G358">
        <v>4.5935477643865852E-15</v>
      </c>
    </row>
    <row r="359" spans="1:7" x14ac:dyDescent="0.35">
      <c r="A359" t="s">
        <v>368</v>
      </c>
      <c r="B359" t="s">
        <v>8</v>
      </c>
      <c r="C359">
        <v>9597.1931349999995</v>
      </c>
      <c r="D359">
        <v>85.839444459999996</v>
      </c>
      <c r="E359">
        <v>0.99879937699999999</v>
      </c>
      <c r="F359">
        <v>5.0804270000000002E-3</v>
      </c>
      <c r="G359">
        <v>-0.79096317409322903</v>
      </c>
    </row>
    <row r="360" spans="1:7" x14ac:dyDescent="0.35">
      <c r="A360" t="s">
        <v>369</v>
      </c>
      <c r="B360" t="s">
        <v>10</v>
      </c>
      <c r="C360">
        <v>14870.5682</v>
      </c>
      <c r="D360">
        <v>109.877591</v>
      </c>
      <c r="E360">
        <v>0.29158071499999999</v>
      </c>
      <c r="F360">
        <v>6.4897347999999994E-2</v>
      </c>
      <c r="G360">
        <v>-1.1380668632220059</v>
      </c>
    </row>
    <row r="361" spans="1:7" x14ac:dyDescent="0.35">
      <c r="A361" t="s">
        <v>370</v>
      </c>
      <c r="B361" t="s">
        <v>8</v>
      </c>
      <c r="C361">
        <v>19.01383693</v>
      </c>
      <c r="D361">
        <v>3.2741442049999998</v>
      </c>
      <c r="E361">
        <v>0.99315348599999997</v>
      </c>
      <c r="F361">
        <v>8.3580990000000008E-3</v>
      </c>
      <c r="G361">
        <v>-0.99999999999999978</v>
      </c>
    </row>
    <row r="362" spans="1:7" x14ac:dyDescent="0.35">
      <c r="A362" t="s">
        <v>371</v>
      </c>
      <c r="B362" t="s">
        <v>8</v>
      </c>
      <c r="C362">
        <v>687.47457929999996</v>
      </c>
      <c r="D362">
        <v>16.283308559999998</v>
      </c>
      <c r="E362">
        <v>0.45408984600000002</v>
      </c>
      <c r="F362">
        <v>8.0433774999999999E-2</v>
      </c>
      <c r="G362">
        <v>-1.061453141275627</v>
      </c>
    </row>
    <row r="363" spans="1:7" x14ac:dyDescent="0.35">
      <c r="A363" t="s">
        <v>372</v>
      </c>
      <c r="B363" t="s">
        <v>8</v>
      </c>
      <c r="C363">
        <v>12870.15459</v>
      </c>
      <c r="D363">
        <v>92.313576699999999</v>
      </c>
      <c r="E363">
        <v>0.939905192</v>
      </c>
      <c r="F363">
        <v>2.0295282000000001E-2</v>
      </c>
      <c r="G363">
        <v>-1.1880281347979791</v>
      </c>
    </row>
    <row r="364" spans="1:7" x14ac:dyDescent="0.35">
      <c r="A364" t="s">
        <v>373</v>
      </c>
      <c r="B364" t="s">
        <v>10</v>
      </c>
      <c r="C364">
        <v>76.571404970000003</v>
      </c>
      <c r="D364">
        <v>7.0567930429999999</v>
      </c>
      <c r="E364">
        <v>0.98392090499999996</v>
      </c>
      <c r="F364">
        <v>5.8081310000000002E-3</v>
      </c>
      <c r="G364">
        <v>-1.023164933177388</v>
      </c>
    </row>
    <row r="365" spans="1:7" x14ac:dyDescent="0.35">
      <c r="A365" t="s">
        <v>374</v>
      </c>
      <c r="B365" t="s">
        <v>26</v>
      </c>
      <c r="C365">
        <v>12.507980720000001</v>
      </c>
      <c r="D365">
        <v>2.6361976710000001</v>
      </c>
      <c r="E365">
        <v>-0.38108952200000001</v>
      </c>
      <c r="F365">
        <v>6.5211169243354901</v>
      </c>
      <c r="G365">
        <v>-1</v>
      </c>
    </row>
    <row r="366" spans="1:7" x14ac:dyDescent="0.35">
      <c r="A366" t="s">
        <v>375</v>
      </c>
      <c r="B366" t="s">
        <v>18</v>
      </c>
      <c r="C366">
        <v>476.11205949999999</v>
      </c>
      <c r="D366">
        <v>20.04773659</v>
      </c>
      <c r="E366">
        <v>-5.8910842079999997</v>
      </c>
      <c r="F366">
        <v>179.15484167451999</v>
      </c>
      <c r="G366">
        <v>-0.99999999999999878</v>
      </c>
    </row>
    <row r="367" spans="1:7" x14ac:dyDescent="0.35">
      <c r="A367" t="s">
        <v>376</v>
      </c>
      <c r="B367" t="s">
        <v>26</v>
      </c>
      <c r="C367">
        <v>28590.963790000002</v>
      </c>
      <c r="D367">
        <v>87.022214099999999</v>
      </c>
      <c r="E367">
        <v>0.16123675800000001</v>
      </c>
      <c r="F367">
        <v>1124.0665132510901</v>
      </c>
      <c r="G367">
        <v>-0.2000000000000019</v>
      </c>
    </row>
    <row r="368" spans="1:7" x14ac:dyDescent="0.35">
      <c r="A368" t="s">
        <v>377</v>
      </c>
      <c r="B368" t="s">
        <v>8</v>
      </c>
      <c r="C368">
        <v>2607.1943179999998</v>
      </c>
      <c r="D368">
        <v>30.289974390000001</v>
      </c>
      <c r="E368">
        <v>0.97020281799999997</v>
      </c>
      <c r="F368">
        <v>2.5651209000000001E-2</v>
      </c>
      <c r="G368">
        <v>-0.87300516590650168</v>
      </c>
    </row>
    <row r="369" spans="1:7" x14ac:dyDescent="0.35">
      <c r="A369" t="s">
        <v>378</v>
      </c>
      <c r="B369" t="s">
        <v>8</v>
      </c>
      <c r="C369">
        <v>62.08489178</v>
      </c>
      <c r="D369">
        <v>4.3280629959999999</v>
      </c>
      <c r="E369">
        <v>0.80161540200000003</v>
      </c>
      <c r="F369">
        <v>7.6856090000000004E-3</v>
      </c>
      <c r="G369">
        <v>-0.81668506433764299</v>
      </c>
    </row>
    <row r="370" spans="1:7" x14ac:dyDescent="0.35">
      <c r="A370" t="s">
        <v>379</v>
      </c>
      <c r="B370" t="s">
        <v>8</v>
      </c>
      <c r="C370">
        <v>615.24885140000004</v>
      </c>
      <c r="D370">
        <v>17.138664339999998</v>
      </c>
      <c r="E370">
        <v>0.83898734100000005</v>
      </c>
      <c r="F370">
        <v>1.1545138999999999E-2</v>
      </c>
      <c r="G370">
        <v>-0.92489783664657266</v>
      </c>
    </row>
    <row r="371" spans="1:7" x14ac:dyDescent="0.35">
      <c r="A371" t="s">
        <v>380</v>
      </c>
      <c r="B371" t="s">
        <v>8</v>
      </c>
      <c r="C371">
        <v>123.9680042</v>
      </c>
      <c r="D371">
        <v>8.3358541400000004</v>
      </c>
      <c r="E371">
        <v>0.94343311699999999</v>
      </c>
      <c r="F371">
        <v>4.1469009999999997E-3</v>
      </c>
      <c r="G371">
        <v>-0.99999999999999956</v>
      </c>
    </row>
    <row r="372" spans="1:7" x14ac:dyDescent="0.35">
      <c r="A372" t="s">
        <v>381</v>
      </c>
      <c r="B372" t="s">
        <v>10</v>
      </c>
      <c r="C372">
        <v>3235.2258069999998</v>
      </c>
      <c r="D372">
        <v>44.136491380000002</v>
      </c>
      <c r="E372">
        <v>0.99679004400000004</v>
      </c>
      <c r="F372">
        <v>4.2121989999999998E-3</v>
      </c>
      <c r="G372">
        <v>-1.15897439224437</v>
      </c>
    </row>
    <row r="373" spans="1:7" x14ac:dyDescent="0.35">
      <c r="A373" t="s">
        <v>382</v>
      </c>
      <c r="B373" t="s">
        <v>8</v>
      </c>
      <c r="C373">
        <v>42784.669430000002</v>
      </c>
      <c r="D373">
        <v>152.14629540000001</v>
      </c>
      <c r="E373">
        <v>0.982117464</v>
      </c>
      <c r="F373">
        <v>8.9055599999999999E-3</v>
      </c>
      <c r="G373">
        <v>-0.73641527966195253</v>
      </c>
    </row>
    <row r="374" spans="1:7" x14ac:dyDescent="0.35">
      <c r="A374" t="s">
        <v>383</v>
      </c>
      <c r="B374" t="s">
        <v>8</v>
      </c>
      <c r="C374">
        <v>53419.154589999998</v>
      </c>
      <c r="D374">
        <v>198.8365306</v>
      </c>
      <c r="E374">
        <v>0.98223052099999997</v>
      </c>
      <c r="F374">
        <v>7.7236709999999997E-3</v>
      </c>
      <c r="G374">
        <v>-0.98677248151390984</v>
      </c>
    </row>
    <row r="375" spans="1:7" x14ac:dyDescent="0.35">
      <c r="A375" t="s">
        <v>384</v>
      </c>
      <c r="B375" t="s">
        <v>26</v>
      </c>
      <c r="C375">
        <v>3.6645950000000001E-3</v>
      </c>
      <c r="D375">
        <v>4.7417743999999998E-2</v>
      </c>
      <c r="E375">
        <v>0.98830524200000003</v>
      </c>
      <c r="F375">
        <v>2.11562956217898</v>
      </c>
      <c r="G375">
        <v>-0.99999999999999722</v>
      </c>
    </row>
    <row r="376" spans="1:7" x14ac:dyDescent="0.35">
      <c r="A376" t="s">
        <v>385</v>
      </c>
      <c r="B376" t="s">
        <v>8</v>
      </c>
      <c r="C376">
        <v>438.5644686</v>
      </c>
      <c r="D376">
        <v>14.568004820000001</v>
      </c>
      <c r="E376">
        <v>0.99796215899999996</v>
      </c>
      <c r="F376">
        <v>6.4715709999999997E-3</v>
      </c>
      <c r="G376">
        <v>-0.73830147454720285</v>
      </c>
    </row>
    <row r="377" spans="1:7" x14ac:dyDescent="0.35">
      <c r="A377" t="s">
        <v>386</v>
      </c>
      <c r="B377" t="s">
        <v>10</v>
      </c>
      <c r="C377">
        <v>192.51693119999999</v>
      </c>
      <c r="D377">
        <v>5.5128981870000002</v>
      </c>
      <c r="E377">
        <v>0.80304676200000003</v>
      </c>
      <c r="F377">
        <v>8.4541398000000004E-2</v>
      </c>
      <c r="G377">
        <v>-0.32564095684672423</v>
      </c>
    </row>
    <row r="378" spans="1:7" x14ac:dyDescent="0.35">
      <c r="A378" t="s">
        <v>387</v>
      </c>
      <c r="B378" t="s">
        <v>10</v>
      </c>
      <c r="C378">
        <v>2785.474009</v>
      </c>
      <c r="D378">
        <v>22.871978639999998</v>
      </c>
      <c r="E378">
        <v>0.66929724599999996</v>
      </c>
      <c r="F378">
        <v>4.9412043000000003E-2</v>
      </c>
      <c r="G378">
        <v>-1.0201672292111119</v>
      </c>
    </row>
    <row r="379" spans="1:7" x14ac:dyDescent="0.35">
      <c r="A379" t="s">
        <v>388</v>
      </c>
      <c r="B379" t="s">
        <v>8</v>
      </c>
      <c r="C379">
        <v>1487.1088890000001</v>
      </c>
      <c r="D379">
        <v>23.728613750000001</v>
      </c>
      <c r="E379">
        <v>0.97505700900000003</v>
      </c>
      <c r="F379">
        <v>6.5409190000000001E-3</v>
      </c>
      <c r="G379">
        <v>-1</v>
      </c>
    </row>
    <row r="380" spans="1:7" x14ac:dyDescent="0.35">
      <c r="A380" t="s">
        <v>389</v>
      </c>
      <c r="B380" t="s">
        <v>8</v>
      </c>
      <c r="C380">
        <v>11505985.029999999</v>
      </c>
      <c r="D380">
        <v>2362.540524</v>
      </c>
      <c r="E380">
        <v>0.52254005999999997</v>
      </c>
      <c r="F380">
        <v>9.0617100000000006E-2</v>
      </c>
      <c r="G380">
        <v>-1</v>
      </c>
    </row>
    <row r="381" spans="1:7" x14ac:dyDescent="0.35">
      <c r="A381" t="s">
        <v>390</v>
      </c>
      <c r="B381" t="s">
        <v>10</v>
      </c>
      <c r="C381">
        <v>103.7173817</v>
      </c>
      <c r="D381">
        <v>5.677573443</v>
      </c>
      <c r="E381">
        <v>0.98959889700000003</v>
      </c>
      <c r="F381">
        <v>1.0296227999999999E-2</v>
      </c>
      <c r="G381">
        <v>-0.99999999999999845</v>
      </c>
    </row>
    <row r="382" spans="1:7" x14ac:dyDescent="0.35">
      <c r="A382" t="s">
        <v>391</v>
      </c>
      <c r="B382" t="s">
        <v>10</v>
      </c>
      <c r="C382">
        <v>7.3412825960000001</v>
      </c>
      <c r="D382">
        <v>1.9351768629999999</v>
      </c>
      <c r="E382">
        <v>0.99882861000000001</v>
      </c>
      <c r="F382">
        <v>5.3064430000000001E-3</v>
      </c>
      <c r="G382">
        <v>-1.0030248742509309</v>
      </c>
    </row>
    <row r="383" spans="1:7" x14ac:dyDescent="0.35">
      <c r="A383" t="s">
        <v>392</v>
      </c>
      <c r="B383" t="s">
        <v>26</v>
      </c>
      <c r="C383">
        <v>5.4008685000000001E-2</v>
      </c>
      <c r="D383">
        <v>0.13446428499999999</v>
      </c>
      <c r="E383">
        <v>0.27692612799999999</v>
      </c>
      <c r="F383">
        <v>4.2291213555304497</v>
      </c>
      <c r="G383">
        <v>-0.99999999999999933</v>
      </c>
    </row>
    <row r="384" spans="1:7" x14ac:dyDescent="0.35">
      <c r="A384" t="s">
        <v>393</v>
      </c>
      <c r="B384" t="s">
        <v>10</v>
      </c>
      <c r="C384">
        <v>8.6075782600000004</v>
      </c>
      <c r="D384">
        <v>2.2282205799999999</v>
      </c>
      <c r="E384">
        <v>0.99565020199999998</v>
      </c>
      <c r="F384">
        <v>2.7971609999999998E-3</v>
      </c>
      <c r="G384">
        <v>-0.70969498972576539</v>
      </c>
    </row>
    <row r="385" spans="1:7" x14ac:dyDescent="0.35">
      <c r="A385" t="s">
        <v>394</v>
      </c>
      <c r="B385" t="s">
        <v>18</v>
      </c>
      <c r="C385">
        <v>161.8802681</v>
      </c>
      <c r="D385">
        <v>6.4092163830000004</v>
      </c>
      <c r="E385">
        <v>0.73682318800000002</v>
      </c>
      <c r="F385">
        <v>96.453945450996102</v>
      </c>
      <c r="G385">
        <v>-1.1521189477277241</v>
      </c>
    </row>
    <row r="386" spans="1:7" x14ac:dyDescent="0.35">
      <c r="A386" t="s">
        <v>395</v>
      </c>
      <c r="B386" t="s">
        <v>8</v>
      </c>
      <c r="C386">
        <v>149.22208269999999</v>
      </c>
      <c r="D386">
        <v>7.9341709250000001</v>
      </c>
      <c r="E386">
        <v>0.919537194</v>
      </c>
      <c r="F386">
        <v>5.6419740000000001E-3</v>
      </c>
      <c r="G386">
        <v>-1.015088984178709</v>
      </c>
    </row>
    <row r="387" spans="1:7" x14ac:dyDescent="0.35">
      <c r="A387" t="s">
        <v>396</v>
      </c>
      <c r="B387" t="s">
        <v>8</v>
      </c>
      <c r="C387">
        <v>425.53982630000002</v>
      </c>
      <c r="D387">
        <v>16.50273859</v>
      </c>
      <c r="E387">
        <v>0.99542977600000004</v>
      </c>
      <c r="F387">
        <v>3.3559190000000002E-3</v>
      </c>
      <c r="G387">
        <v>-0.75565603314726959</v>
      </c>
    </row>
    <row r="388" spans="1:7" x14ac:dyDescent="0.35">
      <c r="A388" t="s">
        <v>397</v>
      </c>
      <c r="B388" t="s">
        <v>8</v>
      </c>
      <c r="C388">
        <v>23.461037780000002</v>
      </c>
      <c r="D388">
        <v>3.9365868389999998</v>
      </c>
      <c r="E388">
        <v>0.99941540399999995</v>
      </c>
      <c r="F388">
        <v>2.2238729999999999E-3</v>
      </c>
      <c r="G388">
        <v>-1.429875146952071</v>
      </c>
    </row>
    <row r="389" spans="1:7" x14ac:dyDescent="0.35">
      <c r="A389" t="s">
        <v>398</v>
      </c>
      <c r="B389" t="s">
        <v>10</v>
      </c>
      <c r="C389">
        <v>2067.2721289999999</v>
      </c>
      <c r="D389">
        <v>30.254381819999999</v>
      </c>
      <c r="E389">
        <v>0.99626841899999996</v>
      </c>
      <c r="F389">
        <v>6.3820999999999999E-3</v>
      </c>
      <c r="G389">
        <v>-0.78363316092351176</v>
      </c>
    </row>
    <row r="390" spans="1:7" x14ac:dyDescent="0.35">
      <c r="A390" t="s">
        <v>399</v>
      </c>
      <c r="B390" t="s">
        <v>10</v>
      </c>
      <c r="C390">
        <v>7022.568698</v>
      </c>
      <c r="D390">
        <v>53.402060229999996</v>
      </c>
      <c r="E390">
        <v>0.99850819700000004</v>
      </c>
      <c r="F390">
        <v>2.1525239999999998E-3</v>
      </c>
      <c r="G390">
        <v>-0.99999999999999545</v>
      </c>
    </row>
    <row r="391" spans="1:7" x14ac:dyDescent="0.35">
      <c r="A391" t="s">
        <v>400</v>
      </c>
      <c r="B391" t="s">
        <v>8</v>
      </c>
      <c r="C391">
        <v>82.090217699999997</v>
      </c>
      <c r="D391">
        <v>6.6476764289999997</v>
      </c>
      <c r="E391">
        <v>0.99619392900000003</v>
      </c>
      <c r="F391">
        <v>4.5978169999999997E-3</v>
      </c>
      <c r="G391">
        <v>-1.2945929457440739</v>
      </c>
    </row>
    <row r="392" spans="1:7" x14ac:dyDescent="0.35">
      <c r="A392" t="s">
        <v>401</v>
      </c>
      <c r="B392" t="s">
        <v>10</v>
      </c>
      <c r="C392">
        <v>648.11461010000005</v>
      </c>
      <c r="D392">
        <v>21.08787178</v>
      </c>
      <c r="E392">
        <v>0.99293157399999998</v>
      </c>
      <c r="F392">
        <v>4.6417369999999999E-3</v>
      </c>
      <c r="G392">
        <v>-1.3536444303135939</v>
      </c>
    </row>
    <row r="393" spans="1:7" x14ac:dyDescent="0.35">
      <c r="A393" t="s">
        <v>402</v>
      </c>
      <c r="B393" t="s">
        <v>18</v>
      </c>
      <c r="C393">
        <v>7.0280380000000003E-3</v>
      </c>
      <c r="D393">
        <v>6.5656060000000002E-2</v>
      </c>
      <c r="E393">
        <v>0.78224735999999995</v>
      </c>
      <c r="F393">
        <v>6.1990650197576898</v>
      </c>
      <c r="G393">
        <v>-0.79999999999999061</v>
      </c>
    </row>
    <row r="394" spans="1:7" x14ac:dyDescent="0.35">
      <c r="A394" t="s">
        <v>403</v>
      </c>
      <c r="B394" t="s">
        <v>8</v>
      </c>
      <c r="C394">
        <v>32976.544889999997</v>
      </c>
      <c r="D394">
        <v>132.43704969999999</v>
      </c>
      <c r="E394">
        <v>0.97447637600000003</v>
      </c>
      <c r="F394">
        <v>1.9536062E-2</v>
      </c>
      <c r="G394">
        <v>-0.99999999999999967</v>
      </c>
    </row>
    <row r="395" spans="1:7" x14ac:dyDescent="0.35">
      <c r="A395" t="s">
        <v>404</v>
      </c>
      <c r="B395" t="s">
        <v>18</v>
      </c>
      <c r="C395">
        <v>565.35994470000003</v>
      </c>
      <c r="D395">
        <v>17.609354069999998</v>
      </c>
      <c r="E395">
        <v>0.96922694200000004</v>
      </c>
      <c r="F395">
        <v>0.70166316478993096</v>
      </c>
      <c r="G395">
        <v>0</v>
      </c>
    </row>
    <row r="396" spans="1:7" x14ac:dyDescent="0.35">
      <c r="A396" t="s">
        <v>405</v>
      </c>
      <c r="B396" t="s">
        <v>18</v>
      </c>
      <c r="C396">
        <v>12411.597449999999</v>
      </c>
      <c r="D396">
        <v>92.947240460000003</v>
      </c>
      <c r="E396">
        <v>-2.055470063</v>
      </c>
      <c r="F396">
        <v>13.238264781556399</v>
      </c>
      <c r="G396">
        <v>-0.82081594627509835</v>
      </c>
    </row>
    <row r="397" spans="1:7" x14ac:dyDescent="0.35">
      <c r="A397" t="s">
        <v>406</v>
      </c>
      <c r="B397" t="s">
        <v>26</v>
      </c>
      <c r="C397">
        <v>2.6307509999999999E-2</v>
      </c>
      <c r="D397">
        <v>0.13457772200000001</v>
      </c>
      <c r="E397">
        <v>0.90090940500000005</v>
      </c>
      <c r="F397">
        <v>5.8429342363232504</v>
      </c>
      <c r="G397">
        <v>-0.63028111234976936</v>
      </c>
    </row>
    <row r="398" spans="1:7" x14ac:dyDescent="0.35">
      <c r="A398" t="s">
        <v>407</v>
      </c>
      <c r="B398" t="s">
        <v>10</v>
      </c>
      <c r="C398">
        <v>1178.0198210000001</v>
      </c>
      <c r="D398">
        <v>24.6076236</v>
      </c>
      <c r="E398">
        <v>0.997395912</v>
      </c>
      <c r="F398">
        <v>3.158213E-3</v>
      </c>
      <c r="G398">
        <v>-1.241833087993101</v>
      </c>
    </row>
    <row r="399" spans="1:7" x14ac:dyDescent="0.35">
      <c r="A399" t="s">
        <v>408</v>
      </c>
      <c r="B399" t="s">
        <v>26</v>
      </c>
      <c r="C399">
        <v>1225.199427</v>
      </c>
      <c r="D399">
        <v>30.356246649999999</v>
      </c>
      <c r="E399">
        <v>-2.8505253179999999</v>
      </c>
      <c r="F399">
        <v>87.008959904318004</v>
      </c>
      <c r="G399">
        <v>-0.8000000000000026</v>
      </c>
    </row>
    <row r="400" spans="1:7" x14ac:dyDescent="0.35">
      <c r="A400" t="s">
        <v>409</v>
      </c>
      <c r="B400" t="s">
        <v>18</v>
      </c>
      <c r="C400">
        <v>2.3427399999999998E-3</v>
      </c>
      <c r="D400">
        <v>3.5883369999999998E-2</v>
      </c>
      <c r="E400">
        <v>0.45446371099999999</v>
      </c>
      <c r="F400">
        <v>17.096639067722101</v>
      </c>
      <c r="G400">
        <v>-1</v>
      </c>
    </row>
    <row r="401" spans="1:7" x14ac:dyDescent="0.35">
      <c r="A401" t="s">
        <v>410</v>
      </c>
      <c r="B401" t="s">
        <v>10</v>
      </c>
      <c r="C401">
        <v>695.08605469999998</v>
      </c>
      <c r="D401">
        <v>6.7369875879999999</v>
      </c>
      <c r="E401">
        <v>0.241833937</v>
      </c>
      <c r="F401">
        <v>3.292424E-2</v>
      </c>
      <c r="G401">
        <v>-0.88088526337063544</v>
      </c>
    </row>
    <row r="402" spans="1:7" x14ac:dyDescent="0.35">
      <c r="A402" t="s">
        <v>411</v>
      </c>
      <c r="B402" t="s">
        <v>10</v>
      </c>
      <c r="C402">
        <v>176.91190230000001</v>
      </c>
      <c r="D402">
        <v>9.5701575049999992</v>
      </c>
      <c r="E402">
        <v>0.93596871400000003</v>
      </c>
      <c r="F402">
        <v>1.7667873000000001E-2</v>
      </c>
      <c r="G402">
        <v>-1.079288542557614</v>
      </c>
    </row>
    <row r="403" spans="1:7" x14ac:dyDescent="0.35">
      <c r="A403" t="s">
        <v>412</v>
      </c>
      <c r="B403" t="s">
        <v>8</v>
      </c>
      <c r="C403">
        <v>11166.42505</v>
      </c>
      <c r="D403">
        <v>88.786415750000003</v>
      </c>
      <c r="E403">
        <v>0.78371618799999998</v>
      </c>
      <c r="F403">
        <v>2.3952352E-2</v>
      </c>
      <c r="G403">
        <v>-1</v>
      </c>
    </row>
    <row r="404" spans="1:7" x14ac:dyDescent="0.35">
      <c r="A404" t="s">
        <v>413</v>
      </c>
      <c r="B404" t="s">
        <v>10</v>
      </c>
      <c r="C404">
        <v>78826.743719999999</v>
      </c>
      <c r="D404">
        <v>185.81291139999999</v>
      </c>
      <c r="E404">
        <v>0.98734733799999996</v>
      </c>
      <c r="F404">
        <v>5.6162139999999996E-3</v>
      </c>
      <c r="G404">
        <v>-0.80181171437193843</v>
      </c>
    </row>
    <row r="405" spans="1:7" x14ac:dyDescent="0.35">
      <c r="A405" t="s">
        <v>414</v>
      </c>
      <c r="B405" t="s">
        <v>8</v>
      </c>
      <c r="C405">
        <v>0.32432937000000001</v>
      </c>
      <c r="D405">
        <v>0.416396661</v>
      </c>
      <c r="E405">
        <v>0.94152152</v>
      </c>
      <c r="F405">
        <v>6.7536030000000004E-3</v>
      </c>
      <c r="G405">
        <v>-0.74243679854283107</v>
      </c>
    </row>
    <row r="406" spans="1:7" x14ac:dyDescent="0.35">
      <c r="A406" t="s">
        <v>415</v>
      </c>
      <c r="B406" t="s">
        <v>8</v>
      </c>
      <c r="C406">
        <v>3.3166537090000001</v>
      </c>
      <c r="D406">
        <v>1.432320214</v>
      </c>
      <c r="E406">
        <v>0.98139721700000004</v>
      </c>
      <c r="F406">
        <v>5.7782129999999999E-3</v>
      </c>
      <c r="G406">
        <v>-0.99999999999999756</v>
      </c>
    </row>
    <row r="407" spans="1:7" x14ac:dyDescent="0.35">
      <c r="A407" t="s">
        <v>416</v>
      </c>
      <c r="B407" t="s">
        <v>8</v>
      </c>
      <c r="C407">
        <v>50.442660029999999</v>
      </c>
      <c r="D407">
        <v>3.5041403350000002</v>
      </c>
      <c r="E407">
        <v>-4.2259259999999996E-3</v>
      </c>
      <c r="F407">
        <v>8.3234137E-2</v>
      </c>
      <c r="G407">
        <v>-0.99190641079781616</v>
      </c>
    </row>
    <row r="408" spans="1:7" x14ac:dyDescent="0.35">
      <c r="A408" t="s">
        <v>417</v>
      </c>
      <c r="B408" t="s">
        <v>18</v>
      </c>
      <c r="C408">
        <v>48.882413100000001</v>
      </c>
      <c r="D408">
        <v>5.1624661190000003</v>
      </c>
      <c r="E408">
        <v>0.91896202999999999</v>
      </c>
      <c r="F408">
        <v>1.86729227446501</v>
      </c>
      <c r="G408">
        <v>-1</v>
      </c>
    </row>
    <row r="409" spans="1:7" x14ac:dyDescent="0.35">
      <c r="A409" t="s">
        <v>418</v>
      </c>
      <c r="B409" t="s">
        <v>8</v>
      </c>
      <c r="C409">
        <v>5660.3777389999996</v>
      </c>
      <c r="D409">
        <v>57.204321239999999</v>
      </c>
      <c r="E409">
        <v>0.99831626900000003</v>
      </c>
      <c r="F409">
        <v>4.2589230000000004E-3</v>
      </c>
      <c r="G409">
        <v>-1.481737001794925</v>
      </c>
    </row>
    <row r="410" spans="1:7" x14ac:dyDescent="0.35">
      <c r="A410" t="s">
        <v>419</v>
      </c>
      <c r="B410" t="s">
        <v>8</v>
      </c>
      <c r="C410">
        <v>29.014572860000001</v>
      </c>
      <c r="D410">
        <v>4.4032878630000001</v>
      </c>
      <c r="E410">
        <v>0.98682983999999996</v>
      </c>
      <c r="F410">
        <v>1.5392288E-2</v>
      </c>
      <c r="G410">
        <v>-0.56737755195368877</v>
      </c>
    </row>
    <row r="411" spans="1:7" x14ac:dyDescent="0.35">
      <c r="A411" t="s">
        <v>420</v>
      </c>
      <c r="B411" t="s">
        <v>8</v>
      </c>
      <c r="C411">
        <v>9.457130158</v>
      </c>
      <c r="D411">
        <v>2.0000156480000002</v>
      </c>
      <c r="E411">
        <v>0.99626398199999999</v>
      </c>
      <c r="F411">
        <v>2.7838659999999999E-3</v>
      </c>
      <c r="G411">
        <v>-1.250956575914119</v>
      </c>
    </row>
    <row r="412" spans="1:7" x14ac:dyDescent="0.35">
      <c r="A412" t="s">
        <v>421</v>
      </c>
      <c r="B412" t="s">
        <v>26</v>
      </c>
      <c r="C412">
        <v>28.76408962</v>
      </c>
      <c r="D412">
        <v>3.836419475</v>
      </c>
      <c r="E412">
        <v>0.96439451200000004</v>
      </c>
      <c r="F412">
        <v>1.12449828968024</v>
      </c>
      <c r="G412">
        <v>-0.96290977245457976</v>
      </c>
    </row>
    <row r="413" spans="1:7" x14ac:dyDescent="0.35">
      <c r="A413" t="s">
        <v>422</v>
      </c>
      <c r="B413" t="s">
        <v>10</v>
      </c>
      <c r="C413">
        <v>264.04860079999997</v>
      </c>
      <c r="D413">
        <v>12.689619779999999</v>
      </c>
      <c r="E413">
        <v>0.99349063999999998</v>
      </c>
      <c r="F413">
        <v>1.0168652E-2</v>
      </c>
      <c r="G413">
        <v>-1.26864219918515</v>
      </c>
    </row>
    <row r="414" spans="1:7" x14ac:dyDescent="0.35">
      <c r="A414" t="s">
        <v>423</v>
      </c>
      <c r="B414" t="s">
        <v>8</v>
      </c>
      <c r="C414">
        <v>27.494526889999999</v>
      </c>
      <c r="D414">
        <v>3.4645164770000001</v>
      </c>
      <c r="E414">
        <v>0.90012666600000002</v>
      </c>
      <c r="F414">
        <v>2.3999975E-2</v>
      </c>
      <c r="G414">
        <v>-1</v>
      </c>
    </row>
    <row r="415" spans="1:7" x14ac:dyDescent="0.35">
      <c r="A415" t="s">
        <v>424</v>
      </c>
      <c r="B415" t="s">
        <v>10</v>
      </c>
      <c r="C415">
        <v>165.56661439999999</v>
      </c>
      <c r="D415">
        <v>10.49134598</v>
      </c>
      <c r="E415">
        <v>0.99719453000000002</v>
      </c>
      <c r="F415">
        <v>6.9193680000000004E-3</v>
      </c>
      <c r="G415">
        <v>-0.85304822676385628</v>
      </c>
    </row>
    <row r="416" spans="1:7" x14ac:dyDescent="0.35">
      <c r="A416" t="s">
        <v>425</v>
      </c>
      <c r="B416" t="s">
        <v>10</v>
      </c>
      <c r="C416">
        <v>10.67113593</v>
      </c>
      <c r="D416">
        <v>2.40193871</v>
      </c>
      <c r="E416">
        <v>0.99944514600000001</v>
      </c>
      <c r="F416">
        <v>3.0981260000000001E-3</v>
      </c>
      <c r="G416">
        <v>-1.4493663343531169</v>
      </c>
    </row>
    <row r="417" spans="1:7" x14ac:dyDescent="0.35">
      <c r="A417" t="s">
        <v>426</v>
      </c>
      <c r="B417" t="s">
        <v>8</v>
      </c>
      <c r="C417">
        <v>96.211722080000001</v>
      </c>
      <c r="D417">
        <v>7.4656260730000001</v>
      </c>
      <c r="E417">
        <v>0.99751377299999999</v>
      </c>
      <c r="F417">
        <v>6.6039779999999999E-3</v>
      </c>
      <c r="G417">
        <v>-1.060591427770136</v>
      </c>
    </row>
    <row r="418" spans="1:7" x14ac:dyDescent="0.35">
      <c r="A418" t="s">
        <v>427</v>
      </c>
      <c r="B418" t="s">
        <v>10</v>
      </c>
      <c r="C418">
        <v>143.21542669999999</v>
      </c>
      <c r="D418">
        <v>8.7233423810000001</v>
      </c>
      <c r="E418">
        <v>0.99272123800000001</v>
      </c>
      <c r="F418">
        <v>4.6033159999999997E-3</v>
      </c>
      <c r="G418">
        <v>-1.5360755004421309</v>
      </c>
    </row>
    <row r="419" spans="1:7" x14ac:dyDescent="0.35">
      <c r="A419" t="s">
        <v>428</v>
      </c>
      <c r="B419" t="s">
        <v>10</v>
      </c>
      <c r="C419">
        <v>32.307740860000003</v>
      </c>
      <c r="D419">
        <v>4.8712505359999998</v>
      </c>
      <c r="E419">
        <v>0.99659751900000004</v>
      </c>
      <c r="F419">
        <v>5.4054810000000002E-3</v>
      </c>
      <c r="G419">
        <v>-1.3618006680440911</v>
      </c>
    </row>
    <row r="420" spans="1:7" x14ac:dyDescent="0.35">
      <c r="A420" t="s">
        <v>429</v>
      </c>
      <c r="B420" t="s">
        <v>18</v>
      </c>
      <c r="C420">
        <v>0.73395667499999995</v>
      </c>
      <c r="D420">
        <v>0.41050614800000002</v>
      </c>
      <c r="E420">
        <v>-0.29802434799999999</v>
      </c>
      <c r="F420">
        <v>7.6243160802080503</v>
      </c>
      <c r="G420">
        <v>-0.49869842430392508</v>
      </c>
    </row>
    <row r="421" spans="1:7" x14ac:dyDescent="0.35">
      <c r="A421" t="s">
        <v>430</v>
      </c>
      <c r="B421" t="s">
        <v>10</v>
      </c>
      <c r="C421">
        <v>9235.9789860000001</v>
      </c>
      <c r="D421">
        <v>35.754925780000001</v>
      </c>
      <c r="E421">
        <v>0.334224558</v>
      </c>
      <c r="F421">
        <v>8.5568453410000007</v>
      </c>
      <c r="G421">
        <v>-1.004559045026181</v>
      </c>
    </row>
    <row r="422" spans="1:7" x14ac:dyDescent="0.35">
      <c r="A422" t="s">
        <v>431</v>
      </c>
      <c r="B422" t="s">
        <v>26</v>
      </c>
      <c r="C422">
        <v>10.15139752</v>
      </c>
      <c r="D422">
        <v>2.1134866059999999</v>
      </c>
      <c r="E422">
        <v>-0.26376280699999999</v>
      </c>
      <c r="F422">
        <v>14.8658733588403</v>
      </c>
      <c r="G422">
        <v>-0.99999999999999956</v>
      </c>
    </row>
    <row r="423" spans="1:7" x14ac:dyDescent="0.35">
      <c r="A423" t="s">
        <v>432</v>
      </c>
      <c r="B423" t="s">
        <v>8</v>
      </c>
      <c r="C423">
        <v>1482.2130930000001</v>
      </c>
      <c r="D423">
        <v>29.73812015</v>
      </c>
      <c r="E423">
        <v>0.98134893499999998</v>
      </c>
      <c r="F423">
        <v>5.2351089999999999E-3</v>
      </c>
      <c r="G423">
        <v>-0.89108351900560645</v>
      </c>
    </row>
    <row r="424" spans="1:7" x14ac:dyDescent="0.35">
      <c r="A424" t="s">
        <v>433</v>
      </c>
      <c r="B424" t="s">
        <v>26</v>
      </c>
      <c r="C424">
        <v>6.8211435399999996</v>
      </c>
      <c r="D424">
        <v>1.1530818220000001</v>
      </c>
      <c r="E424">
        <v>0.92649563099999999</v>
      </c>
      <c r="F424">
        <v>1.0399281807579701</v>
      </c>
      <c r="G424">
        <v>-0.99999999999999978</v>
      </c>
    </row>
    <row r="425" spans="1:7" x14ac:dyDescent="0.35">
      <c r="A425" t="s">
        <v>434</v>
      </c>
      <c r="B425" t="s">
        <v>10</v>
      </c>
      <c r="C425">
        <v>212.44091689999999</v>
      </c>
      <c r="D425">
        <v>11.288343619999999</v>
      </c>
      <c r="E425">
        <v>0.98944268899999999</v>
      </c>
      <c r="F425">
        <v>7.2709380000000002E-3</v>
      </c>
      <c r="G425">
        <v>-0.71834558835415319</v>
      </c>
    </row>
    <row r="426" spans="1:7" x14ac:dyDescent="0.35">
      <c r="A426" t="s">
        <v>435</v>
      </c>
      <c r="B426" t="s">
        <v>10</v>
      </c>
      <c r="C426">
        <v>84.122330829999996</v>
      </c>
      <c r="D426">
        <v>7.3253525750000001</v>
      </c>
      <c r="E426">
        <v>0.95901415300000004</v>
      </c>
      <c r="F426">
        <v>1.3822285E-2</v>
      </c>
      <c r="G426">
        <v>-1</v>
      </c>
    </row>
    <row r="427" spans="1:7" x14ac:dyDescent="0.35">
      <c r="A427" t="s">
        <v>436</v>
      </c>
      <c r="B427" t="s">
        <v>8</v>
      </c>
      <c r="C427">
        <v>324.35124209999998</v>
      </c>
      <c r="D427">
        <v>15.420383210000001</v>
      </c>
      <c r="E427">
        <v>0.97577856900000004</v>
      </c>
      <c r="F427">
        <v>9.1516800000000006E-3</v>
      </c>
      <c r="G427">
        <v>-0.99999999999999978</v>
      </c>
    </row>
    <row r="428" spans="1:7" x14ac:dyDescent="0.35">
      <c r="A428" t="s">
        <v>437</v>
      </c>
      <c r="B428" t="s">
        <v>10</v>
      </c>
      <c r="C428">
        <v>112.4088692</v>
      </c>
      <c r="D428">
        <v>7.0933443230000002</v>
      </c>
      <c r="E428">
        <v>0.99627420600000005</v>
      </c>
      <c r="F428">
        <v>2.0453099999999998E-3</v>
      </c>
      <c r="G428">
        <v>-1.049773415822147</v>
      </c>
    </row>
    <row r="429" spans="1:7" x14ac:dyDescent="0.35">
      <c r="A429" t="s">
        <v>438</v>
      </c>
      <c r="B429" t="s">
        <v>18</v>
      </c>
      <c r="C429">
        <v>0.65918664999999999</v>
      </c>
      <c r="D429">
        <v>0.73866441199999999</v>
      </c>
      <c r="E429">
        <v>-6.569407515</v>
      </c>
      <c r="F429">
        <v>110.192093731355</v>
      </c>
      <c r="G429">
        <v>-0.76381217554992675</v>
      </c>
    </row>
    <row r="430" spans="1:7" x14ac:dyDescent="0.35">
      <c r="A430" t="s">
        <v>439</v>
      </c>
      <c r="B430" t="s">
        <v>18</v>
      </c>
      <c r="C430">
        <v>495.69062270000001</v>
      </c>
      <c r="D430">
        <v>14.50949308</v>
      </c>
      <c r="E430">
        <v>0.54487480399999999</v>
      </c>
      <c r="F430">
        <v>3.9331135979965302</v>
      </c>
      <c r="G430">
        <v>-0.99999999999999978</v>
      </c>
    </row>
    <row r="431" spans="1:7" x14ac:dyDescent="0.35">
      <c r="A431" t="s">
        <v>440</v>
      </c>
      <c r="B431" t="s">
        <v>10</v>
      </c>
      <c r="C431">
        <v>106.95856360000001</v>
      </c>
      <c r="D431">
        <v>8.5935566780000006</v>
      </c>
      <c r="E431">
        <v>0.99860937100000002</v>
      </c>
      <c r="F431">
        <v>3.3891120000000001E-3</v>
      </c>
      <c r="G431">
        <v>-1.0542764403626981</v>
      </c>
    </row>
    <row r="432" spans="1:7" x14ac:dyDescent="0.35">
      <c r="A432" t="s">
        <v>441</v>
      </c>
      <c r="B432" t="s">
        <v>8</v>
      </c>
      <c r="C432">
        <v>12141.44369</v>
      </c>
      <c r="D432">
        <v>48.493228799999997</v>
      </c>
      <c r="E432">
        <v>0.99637979799999998</v>
      </c>
      <c r="F432">
        <v>4.4477579999999996E-3</v>
      </c>
      <c r="G432">
        <v>-0.78685136537312084</v>
      </c>
    </row>
    <row r="433" spans="1:7" x14ac:dyDescent="0.35">
      <c r="A433" t="s">
        <v>442</v>
      </c>
      <c r="B433" t="s">
        <v>8</v>
      </c>
      <c r="C433">
        <v>64.522447799999995</v>
      </c>
      <c r="D433">
        <v>5.9002002390000001</v>
      </c>
      <c r="E433">
        <v>0.90715300700000001</v>
      </c>
      <c r="F433">
        <v>1.4276199999999999E-2</v>
      </c>
      <c r="G433">
        <v>-1.1245125668949421</v>
      </c>
    </row>
    <row r="434" spans="1:7" x14ac:dyDescent="0.35">
      <c r="A434" t="s">
        <v>443</v>
      </c>
      <c r="B434" t="s">
        <v>18</v>
      </c>
      <c r="C434">
        <v>69789.367480000001</v>
      </c>
      <c r="D434">
        <v>159.26101080000001</v>
      </c>
      <c r="E434">
        <v>5.5730646000000002E-2</v>
      </c>
      <c r="F434">
        <v>1006.52867578375</v>
      </c>
      <c r="G434">
        <v>-1</v>
      </c>
    </row>
    <row r="435" spans="1:7" x14ac:dyDescent="0.35">
      <c r="A435" t="s">
        <v>444</v>
      </c>
      <c r="B435" t="s">
        <v>8</v>
      </c>
      <c r="C435">
        <v>1111.524251</v>
      </c>
      <c r="D435">
        <v>28.865424839999999</v>
      </c>
      <c r="E435">
        <v>0.99794700199999997</v>
      </c>
      <c r="F435">
        <v>7.2201080000000003E-3</v>
      </c>
      <c r="G435">
        <v>-0.97879486418650963</v>
      </c>
    </row>
    <row r="436" spans="1:7" x14ac:dyDescent="0.35">
      <c r="A436" t="s">
        <v>445</v>
      </c>
      <c r="B436" t="s">
        <v>8</v>
      </c>
      <c r="C436">
        <v>12300.94932</v>
      </c>
      <c r="D436">
        <v>96.099133809999998</v>
      </c>
      <c r="E436">
        <v>0.91341221399999994</v>
      </c>
      <c r="F436">
        <v>2.2710673000000001E-2</v>
      </c>
      <c r="G436">
        <v>-1</v>
      </c>
    </row>
    <row r="437" spans="1:7" x14ac:dyDescent="0.35">
      <c r="A437" t="s">
        <v>446</v>
      </c>
      <c r="B437" t="s">
        <v>8</v>
      </c>
      <c r="C437">
        <v>290.6341529</v>
      </c>
      <c r="D437">
        <v>6.8822098650000001</v>
      </c>
      <c r="E437">
        <v>0.97849608399999999</v>
      </c>
      <c r="F437">
        <v>0.13793915400000001</v>
      </c>
      <c r="G437">
        <v>-1.0512246454658101</v>
      </c>
    </row>
    <row r="438" spans="1:7" x14ac:dyDescent="0.35">
      <c r="A438" t="s">
        <v>447</v>
      </c>
      <c r="B438" t="s">
        <v>26</v>
      </c>
      <c r="C438">
        <v>46.719770769999997</v>
      </c>
      <c r="D438">
        <v>6.4390404639999996</v>
      </c>
      <c r="E438">
        <v>-9.3457193669999992</v>
      </c>
      <c r="F438">
        <v>15.6070669456521</v>
      </c>
      <c r="G438">
        <v>-0.38184470129420939</v>
      </c>
    </row>
    <row r="439" spans="1:7" x14ac:dyDescent="0.35">
      <c r="A439" t="s">
        <v>448</v>
      </c>
      <c r="B439" t="s">
        <v>8</v>
      </c>
      <c r="C439">
        <v>376.17963930000002</v>
      </c>
      <c r="D439">
        <v>9.6205165029999993</v>
      </c>
      <c r="E439">
        <v>-4.4623899309999997</v>
      </c>
      <c r="F439">
        <v>0.23112877600000001</v>
      </c>
      <c r="G439">
        <v>-1.738031007399274</v>
      </c>
    </row>
    <row r="440" spans="1:7" x14ac:dyDescent="0.35">
      <c r="A440" t="s">
        <v>449</v>
      </c>
      <c r="B440" t="s">
        <v>10</v>
      </c>
      <c r="C440">
        <v>9544.8091899999999</v>
      </c>
      <c r="D440">
        <v>89.140793639999998</v>
      </c>
      <c r="E440">
        <v>0.98199466300000005</v>
      </c>
      <c r="F440">
        <v>1.3121282999999999E-2</v>
      </c>
      <c r="G440">
        <v>-1.0045714564490871</v>
      </c>
    </row>
    <row r="441" spans="1:7" x14ac:dyDescent="0.35">
      <c r="A441" t="s">
        <v>450</v>
      </c>
      <c r="B441" t="s">
        <v>10</v>
      </c>
      <c r="C441">
        <v>28154.652910000001</v>
      </c>
      <c r="D441">
        <v>113.039799</v>
      </c>
      <c r="E441">
        <v>6.2029975000000001E-2</v>
      </c>
      <c r="F441">
        <v>2.5303334E-2</v>
      </c>
      <c r="G441">
        <v>-1.005283180980808</v>
      </c>
    </row>
    <row r="442" spans="1:7" x14ac:dyDescent="0.35">
      <c r="A442" t="s">
        <v>451</v>
      </c>
      <c r="B442" t="s">
        <v>26</v>
      </c>
      <c r="C442">
        <v>13749.46852</v>
      </c>
      <c r="D442">
        <v>84.991519249999996</v>
      </c>
      <c r="E442">
        <v>-16.652861439999999</v>
      </c>
      <c r="F442">
        <v>989.077177942611</v>
      </c>
      <c r="G442">
        <v>-0.20000000000000079</v>
      </c>
    </row>
    <row r="443" spans="1:7" x14ac:dyDescent="0.35">
      <c r="A443" t="s">
        <v>452</v>
      </c>
      <c r="B443" t="s">
        <v>8</v>
      </c>
      <c r="C443">
        <v>13336.730320000001</v>
      </c>
      <c r="D443">
        <v>42.469105620000001</v>
      </c>
      <c r="E443">
        <v>-2.871724945</v>
      </c>
      <c r="F443">
        <v>0.11259437899999999</v>
      </c>
      <c r="G443">
        <v>-0.92604566405843347</v>
      </c>
    </row>
    <row r="444" spans="1:7" x14ac:dyDescent="0.35">
      <c r="A444" t="s">
        <v>453</v>
      </c>
      <c r="B444" t="s">
        <v>10</v>
      </c>
      <c r="C444">
        <v>1378113.122</v>
      </c>
      <c r="D444">
        <v>948.25720190000004</v>
      </c>
      <c r="E444">
        <v>0.36850788099999998</v>
      </c>
      <c r="F444">
        <v>9.9787417000000003E-2</v>
      </c>
      <c r="G444">
        <v>-0.79544620054389836</v>
      </c>
    </row>
    <row r="445" spans="1:7" x14ac:dyDescent="0.35">
      <c r="A445" t="s">
        <v>454</v>
      </c>
      <c r="B445" t="s">
        <v>8</v>
      </c>
      <c r="C445">
        <v>331.36727309999998</v>
      </c>
      <c r="D445">
        <v>14.58244429</v>
      </c>
      <c r="E445">
        <v>0.99491357800000002</v>
      </c>
      <c r="F445">
        <v>2.3539820000000001E-3</v>
      </c>
      <c r="G445">
        <v>-1.10211792652594</v>
      </c>
    </row>
    <row r="446" spans="1:7" x14ac:dyDescent="0.35">
      <c r="A446" t="s">
        <v>455</v>
      </c>
      <c r="B446" t="s">
        <v>8</v>
      </c>
      <c r="C446">
        <v>54564.636409999999</v>
      </c>
      <c r="D446">
        <v>188.7750729</v>
      </c>
      <c r="E446">
        <v>0.99537830199999999</v>
      </c>
      <c r="F446">
        <v>7.8578439999999992E-3</v>
      </c>
      <c r="G446">
        <v>-1</v>
      </c>
    </row>
    <row r="447" spans="1:7" x14ac:dyDescent="0.35">
      <c r="A447" t="s">
        <v>456</v>
      </c>
      <c r="B447" t="s">
        <v>8</v>
      </c>
      <c r="C447">
        <v>43.377411010000003</v>
      </c>
      <c r="D447">
        <v>5.0113630049999998</v>
      </c>
      <c r="E447">
        <v>0.98154460799999999</v>
      </c>
      <c r="F447">
        <v>1.1521247E-2</v>
      </c>
      <c r="G447">
        <v>-1.1711646990147291</v>
      </c>
    </row>
    <row r="448" spans="1:7" x14ac:dyDescent="0.35">
      <c r="A448" t="s">
        <v>457</v>
      </c>
      <c r="B448" t="s">
        <v>18</v>
      </c>
      <c r="C448">
        <v>27400.718280000001</v>
      </c>
      <c r="D448">
        <v>97.994738900000002</v>
      </c>
      <c r="E448">
        <v>0.52546025600000001</v>
      </c>
      <c r="F448">
        <v>82.679802165460003</v>
      </c>
      <c r="G448">
        <v>-3.767819389821625E-14</v>
      </c>
    </row>
    <row r="449" spans="1:7" x14ac:dyDescent="0.35">
      <c r="A449" t="s">
        <v>458</v>
      </c>
      <c r="B449" t="s">
        <v>10</v>
      </c>
      <c r="C449">
        <v>53667.354610000002</v>
      </c>
      <c r="D449">
        <v>142.39569169999999</v>
      </c>
      <c r="E449">
        <v>0.90434808499999997</v>
      </c>
      <c r="F449">
        <v>2.0193801000000001E-2</v>
      </c>
      <c r="G449">
        <v>-1.0000000000000011</v>
      </c>
    </row>
    <row r="450" spans="1:7" x14ac:dyDescent="0.35">
      <c r="A450" t="s">
        <v>459</v>
      </c>
      <c r="B450" t="s">
        <v>8</v>
      </c>
      <c r="C450">
        <v>4549.9359700000005</v>
      </c>
      <c r="D450">
        <v>44.075598120000002</v>
      </c>
      <c r="E450">
        <v>0.95109966099999999</v>
      </c>
      <c r="F450">
        <v>1.3365121000000001E-2</v>
      </c>
      <c r="G450">
        <v>-1.066070686449673</v>
      </c>
    </row>
    <row r="451" spans="1:7" x14ac:dyDescent="0.35">
      <c r="A451" t="s">
        <v>460</v>
      </c>
      <c r="B451" t="s">
        <v>8</v>
      </c>
      <c r="C451">
        <v>4.7440307429999997</v>
      </c>
      <c r="D451">
        <v>1.5723669389999999</v>
      </c>
      <c r="E451">
        <v>0.99055486500000001</v>
      </c>
      <c r="F451">
        <v>7.943337E-3</v>
      </c>
      <c r="G451">
        <v>-0.99999999999999778</v>
      </c>
    </row>
    <row r="452" spans="1:7" x14ac:dyDescent="0.35">
      <c r="A452" t="s">
        <v>461</v>
      </c>
      <c r="B452" t="s">
        <v>10</v>
      </c>
      <c r="C452">
        <v>272.6847454</v>
      </c>
      <c r="D452">
        <v>11.112209030000001</v>
      </c>
      <c r="E452">
        <v>0.86782543599999995</v>
      </c>
      <c r="F452">
        <v>2.4432537000000001E-2</v>
      </c>
      <c r="G452">
        <v>-1.0279980734560721</v>
      </c>
    </row>
    <row r="453" spans="1:7" x14ac:dyDescent="0.35">
      <c r="A453" t="s">
        <v>462</v>
      </c>
      <c r="B453" t="s">
        <v>8</v>
      </c>
      <c r="C453">
        <v>32.228387669999996</v>
      </c>
      <c r="D453">
        <v>4.6021344370000001</v>
      </c>
      <c r="E453">
        <v>0.99689014399999998</v>
      </c>
      <c r="F453">
        <v>9.6982779999999994E-3</v>
      </c>
      <c r="G453">
        <v>-0.71419464380228614</v>
      </c>
    </row>
    <row r="454" spans="1:7" x14ac:dyDescent="0.35">
      <c r="A454" t="s">
        <v>463</v>
      </c>
      <c r="B454" t="s">
        <v>26</v>
      </c>
      <c r="C454">
        <v>2.2780796510000001</v>
      </c>
      <c r="D454">
        <v>1.026711698</v>
      </c>
      <c r="E454">
        <v>0.91368646799999997</v>
      </c>
      <c r="F454">
        <v>2.2166408845429499</v>
      </c>
      <c r="G454">
        <v>-1</v>
      </c>
    </row>
    <row r="455" spans="1:7" x14ac:dyDescent="0.35">
      <c r="A455" t="s">
        <v>464</v>
      </c>
      <c r="B455" t="s">
        <v>8</v>
      </c>
      <c r="C455">
        <v>144.55700060000001</v>
      </c>
      <c r="D455">
        <v>8.2921504279999994</v>
      </c>
      <c r="E455">
        <v>0.98261358700000001</v>
      </c>
      <c r="F455">
        <v>1.0104253000000001E-2</v>
      </c>
      <c r="G455">
        <v>-0.99999999999999978</v>
      </c>
    </row>
    <row r="456" spans="1:7" x14ac:dyDescent="0.35">
      <c r="A456" t="s">
        <v>465</v>
      </c>
      <c r="B456" t="s">
        <v>10</v>
      </c>
      <c r="C456">
        <v>3.2514096129999999</v>
      </c>
      <c r="D456">
        <v>1.3450148470000001</v>
      </c>
      <c r="E456">
        <v>0.60494262399999998</v>
      </c>
      <c r="F456">
        <v>3.7063532000000003E-2</v>
      </c>
      <c r="G456">
        <v>-0.96608854933416277</v>
      </c>
    </row>
    <row r="457" spans="1:7" x14ac:dyDescent="0.35">
      <c r="A457" t="s">
        <v>466</v>
      </c>
      <c r="B457" t="s">
        <v>8</v>
      </c>
      <c r="C457">
        <v>12432.668540000001</v>
      </c>
      <c r="D457">
        <v>70.096319480000005</v>
      </c>
      <c r="E457">
        <v>0.97933036100000004</v>
      </c>
      <c r="F457">
        <v>3.9994219999999999E-3</v>
      </c>
      <c r="G457">
        <v>-0.99999999999999933</v>
      </c>
    </row>
    <row r="458" spans="1:7" x14ac:dyDescent="0.35">
      <c r="A458" t="s">
        <v>467</v>
      </c>
      <c r="B458" t="s">
        <v>26</v>
      </c>
      <c r="C458">
        <v>915.28574549999996</v>
      </c>
      <c r="D458">
        <v>18.575523180000001</v>
      </c>
      <c r="E458">
        <v>0.92679129699999996</v>
      </c>
      <c r="F458">
        <v>1.73818344050431</v>
      </c>
      <c r="G458">
        <v>-1</v>
      </c>
    </row>
    <row r="459" spans="1:7" x14ac:dyDescent="0.35">
      <c r="A459" t="s">
        <v>468</v>
      </c>
      <c r="B459" t="s">
        <v>8</v>
      </c>
      <c r="C459">
        <v>10472.875319999999</v>
      </c>
      <c r="D459">
        <v>63.875064739999999</v>
      </c>
      <c r="E459">
        <v>0.94265704500000003</v>
      </c>
      <c r="F459">
        <v>2.2496449000000002E-2</v>
      </c>
      <c r="G459">
        <v>-1.056976064206804</v>
      </c>
    </row>
    <row r="460" spans="1:7" x14ac:dyDescent="0.35">
      <c r="A460" t="s">
        <v>469</v>
      </c>
      <c r="B460" t="s">
        <v>8</v>
      </c>
      <c r="C460">
        <v>121.2436374</v>
      </c>
      <c r="D460">
        <v>3.425676669</v>
      </c>
      <c r="E460">
        <v>0.78462717000000004</v>
      </c>
      <c r="F460">
        <v>7.8298269999999993E-3</v>
      </c>
      <c r="G460">
        <v>-0.95472845731805722</v>
      </c>
    </row>
    <row r="461" spans="1:7" x14ac:dyDescent="0.35">
      <c r="A461" t="s">
        <v>470</v>
      </c>
      <c r="B461" t="s">
        <v>8</v>
      </c>
      <c r="C461">
        <v>410.29161740000001</v>
      </c>
      <c r="D461">
        <v>12.23527906</v>
      </c>
      <c r="E461">
        <v>0.99136026099999996</v>
      </c>
      <c r="F461">
        <v>9.9762779999999999E-3</v>
      </c>
      <c r="G461">
        <v>-1.301899063676669</v>
      </c>
    </row>
    <row r="462" spans="1:7" x14ac:dyDescent="0.35">
      <c r="A462" t="s">
        <v>471</v>
      </c>
      <c r="B462" t="s">
        <v>8</v>
      </c>
      <c r="C462">
        <v>5329.3818140000003</v>
      </c>
      <c r="D462">
        <v>44.42080017</v>
      </c>
      <c r="E462">
        <v>0.94896867299999998</v>
      </c>
      <c r="F462">
        <v>2.0582484000000002E-2</v>
      </c>
      <c r="G462">
        <v>-1.054697726542819</v>
      </c>
    </row>
    <row r="463" spans="1:7" x14ac:dyDescent="0.35">
      <c r="A463" t="s">
        <v>472</v>
      </c>
      <c r="B463" t="s">
        <v>8</v>
      </c>
      <c r="C463">
        <v>73.921297060000001</v>
      </c>
      <c r="D463">
        <v>5.9582945629999999</v>
      </c>
      <c r="E463">
        <v>0.99663594899999997</v>
      </c>
      <c r="F463">
        <v>5.6817380000000004E-3</v>
      </c>
      <c r="G463">
        <v>-1.396085496630453</v>
      </c>
    </row>
    <row r="464" spans="1:7" x14ac:dyDescent="0.35">
      <c r="A464" t="s">
        <v>473</v>
      </c>
      <c r="B464" t="s">
        <v>8</v>
      </c>
      <c r="C464">
        <v>5.0834907200000004</v>
      </c>
      <c r="D464">
        <v>1.2499115489999999</v>
      </c>
      <c r="E464">
        <v>0.95750668699999997</v>
      </c>
      <c r="F464">
        <v>3.1121559E-2</v>
      </c>
      <c r="G464">
        <v>-1.01878604035858</v>
      </c>
    </row>
    <row r="465" spans="1:7" x14ac:dyDescent="0.35">
      <c r="A465" t="s">
        <v>474</v>
      </c>
      <c r="B465" t="s">
        <v>10</v>
      </c>
      <c r="C465">
        <v>16.247132229999998</v>
      </c>
      <c r="D465">
        <v>2.7430475670000001</v>
      </c>
      <c r="E465">
        <v>0.86085673799999995</v>
      </c>
      <c r="F465">
        <v>2.6831774999999999E-2</v>
      </c>
      <c r="G465">
        <v>-0.65513895571844483</v>
      </c>
    </row>
    <row r="466" spans="1:7" x14ac:dyDescent="0.35">
      <c r="A466" t="s">
        <v>475</v>
      </c>
      <c r="B466" t="s">
        <v>18</v>
      </c>
      <c r="C466">
        <v>114.6237787</v>
      </c>
      <c r="D466">
        <v>7.2501641719999999</v>
      </c>
      <c r="E466">
        <v>0.96692478000000004</v>
      </c>
      <c r="F466">
        <v>1.03966440760715</v>
      </c>
      <c r="G466">
        <v>-1</v>
      </c>
    </row>
    <row r="467" spans="1:7" x14ac:dyDescent="0.35">
      <c r="A467" t="s">
        <v>476</v>
      </c>
      <c r="B467" t="s">
        <v>8</v>
      </c>
      <c r="C467">
        <v>639.11976010000001</v>
      </c>
      <c r="D467">
        <v>19.147419849999999</v>
      </c>
      <c r="E467">
        <v>0.99417129299999996</v>
      </c>
      <c r="F467">
        <v>8.0746800000000007E-3</v>
      </c>
      <c r="G467">
        <v>-1.000000000000006</v>
      </c>
    </row>
    <row r="468" spans="1:7" x14ac:dyDescent="0.35">
      <c r="A468" t="s">
        <v>477</v>
      </c>
      <c r="B468" t="s">
        <v>8</v>
      </c>
      <c r="C468">
        <v>93.214452230000006</v>
      </c>
      <c r="D468">
        <v>8.3803968910000002</v>
      </c>
      <c r="E468">
        <v>0.93092055200000001</v>
      </c>
      <c r="F468">
        <v>1.7125772000000001E-2</v>
      </c>
      <c r="G468">
        <v>-0.70348340960657041</v>
      </c>
    </row>
    <row r="469" spans="1:7" x14ac:dyDescent="0.35">
      <c r="A469" t="s">
        <v>478</v>
      </c>
      <c r="B469" t="s">
        <v>8</v>
      </c>
      <c r="C469">
        <v>159920.22700000001</v>
      </c>
      <c r="D469">
        <v>300.4770565</v>
      </c>
      <c r="E469">
        <v>0.91481753600000004</v>
      </c>
      <c r="F469">
        <v>1.7338698999999999E-2</v>
      </c>
      <c r="G469">
        <v>-1.086254647455696</v>
      </c>
    </row>
    <row r="470" spans="1:7" x14ac:dyDescent="0.35">
      <c r="A470" t="s">
        <v>479</v>
      </c>
      <c r="B470" t="s">
        <v>8</v>
      </c>
      <c r="C470">
        <v>10.07010672</v>
      </c>
      <c r="D470">
        <v>2.6905156429999999</v>
      </c>
      <c r="E470">
        <v>0.99632268300000004</v>
      </c>
      <c r="F470">
        <v>4.1334190000000002E-3</v>
      </c>
      <c r="G470">
        <v>-1.0000000000000011</v>
      </c>
    </row>
    <row r="471" spans="1:7" x14ac:dyDescent="0.35">
      <c r="A471" t="s">
        <v>480</v>
      </c>
      <c r="B471" t="s">
        <v>10</v>
      </c>
      <c r="C471">
        <v>191.47051630000001</v>
      </c>
      <c r="D471">
        <v>9.6352305260000009</v>
      </c>
      <c r="E471">
        <v>0.978375192</v>
      </c>
      <c r="F471">
        <v>1.0862739999999999E-2</v>
      </c>
      <c r="G471">
        <v>-1</v>
      </c>
    </row>
    <row r="472" spans="1:7" x14ac:dyDescent="0.35">
      <c r="A472" t="s">
        <v>481</v>
      </c>
      <c r="B472" t="s">
        <v>18</v>
      </c>
      <c r="C472">
        <v>1.056898039</v>
      </c>
      <c r="D472">
        <v>0.80414629599999998</v>
      </c>
      <c r="E472">
        <v>0.94368996199999999</v>
      </c>
      <c r="F472">
        <v>2.1699947866302902</v>
      </c>
      <c r="G472">
        <v>-1.498801083243961E-14</v>
      </c>
    </row>
    <row r="473" spans="1:7" x14ac:dyDescent="0.35">
      <c r="A473" t="s">
        <v>482</v>
      </c>
      <c r="B473" t="s">
        <v>10</v>
      </c>
      <c r="C473">
        <v>3528002.0750000002</v>
      </c>
      <c r="D473">
        <v>1735.3420980000001</v>
      </c>
      <c r="E473">
        <v>0.51779038399999999</v>
      </c>
      <c r="F473">
        <v>5.2633569400000004</v>
      </c>
      <c r="G473">
        <v>-1</v>
      </c>
    </row>
    <row r="474" spans="1:7" x14ac:dyDescent="0.35">
      <c r="A474" t="s">
        <v>483</v>
      </c>
      <c r="B474" t="s">
        <v>26</v>
      </c>
      <c r="C474">
        <v>3845.0143950000001</v>
      </c>
      <c r="D474">
        <v>61.719693190000001</v>
      </c>
      <c r="E474">
        <v>-70.368646769999998</v>
      </c>
      <c r="F474">
        <v>240.24570517992399</v>
      </c>
      <c r="G474">
        <v>-1</v>
      </c>
    </row>
    <row r="475" spans="1:7" x14ac:dyDescent="0.35">
      <c r="A475" t="s">
        <v>484</v>
      </c>
      <c r="B475" t="s">
        <v>10</v>
      </c>
      <c r="C475">
        <v>1643.6955390000001</v>
      </c>
      <c r="D475">
        <v>30.473958970000002</v>
      </c>
      <c r="E475">
        <v>0.94271570000000005</v>
      </c>
      <c r="F475">
        <v>1.128531E-2</v>
      </c>
      <c r="G475">
        <v>-0.71502269630525739</v>
      </c>
    </row>
    <row r="476" spans="1:7" x14ac:dyDescent="0.35">
      <c r="A476" t="s">
        <v>485</v>
      </c>
      <c r="B476" t="s">
        <v>18</v>
      </c>
      <c r="C476">
        <v>2562.8354639999998</v>
      </c>
      <c r="D476">
        <v>27.78819477</v>
      </c>
      <c r="E476">
        <v>0.38861582500000003</v>
      </c>
      <c r="F476">
        <v>821.23825599257702</v>
      </c>
      <c r="G476">
        <v>-0.999999999999999</v>
      </c>
    </row>
    <row r="477" spans="1:7" x14ac:dyDescent="0.35">
      <c r="A477" t="s">
        <v>486</v>
      </c>
      <c r="B477" t="s">
        <v>18</v>
      </c>
      <c r="C477">
        <v>2455.3266629999998</v>
      </c>
      <c r="D477">
        <v>45.443103749999999</v>
      </c>
      <c r="E477">
        <v>-4.2853304850000002</v>
      </c>
      <c r="F477">
        <v>250.80061003445499</v>
      </c>
      <c r="G477">
        <v>-1</v>
      </c>
    </row>
    <row r="478" spans="1:7" x14ac:dyDescent="0.35">
      <c r="A478" t="s">
        <v>487</v>
      </c>
      <c r="B478" t="s">
        <v>8</v>
      </c>
      <c r="C478">
        <v>47.270180979999999</v>
      </c>
      <c r="D478">
        <v>4.9340487399999997</v>
      </c>
      <c r="E478">
        <v>0.99808476999999995</v>
      </c>
      <c r="F478">
        <v>8.3736220000000007E-3</v>
      </c>
      <c r="G478">
        <v>-0.75725334153177182</v>
      </c>
    </row>
    <row r="479" spans="1:7" x14ac:dyDescent="0.35">
      <c r="A479" t="s">
        <v>488</v>
      </c>
      <c r="B479" t="s">
        <v>10</v>
      </c>
      <c r="C479">
        <v>3219.8621589999998</v>
      </c>
      <c r="D479">
        <v>45.599107480000001</v>
      </c>
      <c r="E479">
        <v>0.97669145400000001</v>
      </c>
      <c r="F479">
        <v>8.6519630000000004E-3</v>
      </c>
      <c r="G479">
        <v>-0.77804556244669532</v>
      </c>
    </row>
    <row r="480" spans="1:7" x14ac:dyDescent="0.35">
      <c r="A480" t="s">
        <v>489</v>
      </c>
      <c r="B480" t="s">
        <v>8</v>
      </c>
      <c r="C480">
        <v>11674.079680000001</v>
      </c>
      <c r="D480">
        <v>74.24794876</v>
      </c>
      <c r="E480">
        <v>0.99178523200000002</v>
      </c>
      <c r="F480">
        <v>4.4076760000000001E-3</v>
      </c>
      <c r="G480">
        <v>-0.99999999999999845</v>
      </c>
    </row>
    <row r="481" spans="1:7" x14ac:dyDescent="0.35">
      <c r="A481" t="s">
        <v>490</v>
      </c>
      <c r="B481" t="s">
        <v>10</v>
      </c>
      <c r="C481">
        <v>60644.523280000001</v>
      </c>
      <c r="D481">
        <v>122.4388185</v>
      </c>
      <c r="E481">
        <v>0.988678422</v>
      </c>
      <c r="F481">
        <v>0.47442943100000001</v>
      </c>
      <c r="G481">
        <v>-1.00707603550682</v>
      </c>
    </row>
    <row r="482" spans="1:7" x14ac:dyDescent="0.35">
      <c r="A482" t="s">
        <v>491</v>
      </c>
      <c r="B482" t="s">
        <v>10</v>
      </c>
      <c r="C482">
        <v>827.63299180000001</v>
      </c>
      <c r="D482">
        <v>25.468655340000002</v>
      </c>
      <c r="E482">
        <v>0.89839547200000003</v>
      </c>
      <c r="F482">
        <v>1.0531522999999999E-2</v>
      </c>
      <c r="G482">
        <v>-1.3336528977622979</v>
      </c>
    </row>
    <row r="483" spans="1:7" x14ac:dyDescent="0.35">
      <c r="A483" t="s">
        <v>492</v>
      </c>
      <c r="B483" t="s">
        <v>10</v>
      </c>
      <c r="C483">
        <v>85.339819719999994</v>
      </c>
      <c r="D483">
        <v>7.3985630039999997</v>
      </c>
      <c r="E483">
        <v>0.99772654000000005</v>
      </c>
      <c r="F483">
        <v>3.1676600000000001E-3</v>
      </c>
      <c r="G483">
        <v>-1.066521864480025</v>
      </c>
    </row>
    <row r="484" spans="1:7" x14ac:dyDescent="0.35">
      <c r="A484" t="s">
        <v>493</v>
      </c>
      <c r="B484" t="s">
        <v>18</v>
      </c>
      <c r="C484">
        <v>3000.0095649999998</v>
      </c>
      <c r="D484">
        <v>45.192078350000003</v>
      </c>
      <c r="E484">
        <v>-0.62337098199999996</v>
      </c>
      <c r="F484">
        <v>60.713470773354501</v>
      </c>
      <c r="G484">
        <v>-0.99999999999999989</v>
      </c>
    </row>
    <row r="485" spans="1:7" x14ac:dyDescent="0.35">
      <c r="A485" t="s">
        <v>494</v>
      </c>
      <c r="B485" t="s">
        <v>8</v>
      </c>
      <c r="C485">
        <v>65.526996409999995</v>
      </c>
      <c r="D485">
        <v>6.456532352</v>
      </c>
      <c r="E485">
        <v>0.968695062</v>
      </c>
      <c r="F485">
        <v>1.364888E-2</v>
      </c>
      <c r="G485">
        <v>-1</v>
      </c>
    </row>
    <row r="486" spans="1:7" x14ac:dyDescent="0.35">
      <c r="A486" t="s">
        <v>495</v>
      </c>
      <c r="B486" t="s">
        <v>26</v>
      </c>
      <c r="C486">
        <v>1.5238599370000001</v>
      </c>
      <c r="D486">
        <v>1.0229564120000001</v>
      </c>
      <c r="E486">
        <v>0.96262417</v>
      </c>
      <c r="F486">
        <v>2.6628462801075199</v>
      </c>
      <c r="G486">
        <v>-0.5370898058150001</v>
      </c>
    </row>
    <row r="487" spans="1:7" x14ac:dyDescent="0.35">
      <c r="A487" t="s">
        <v>496</v>
      </c>
      <c r="B487" t="s">
        <v>8</v>
      </c>
      <c r="C487">
        <v>3.7561210090000001</v>
      </c>
      <c r="D487">
        <v>1.6501372540000001</v>
      </c>
      <c r="E487">
        <v>0.96623111299999997</v>
      </c>
      <c r="F487">
        <v>5.8914171000000001E-2</v>
      </c>
      <c r="G487">
        <v>-1.0000000000000011</v>
      </c>
    </row>
    <row r="488" spans="1:7" x14ac:dyDescent="0.35">
      <c r="A488" t="s">
        <v>497</v>
      </c>
      <c r="B488" t="s">
        <v>8</v>
      </c>
      <c r="C488">
        <v>667.79941040000006</v>
      </c>
      <c r="D488">
        <v>20.2102535</v>
      </c>
      <c r="E488">
        <v>0.99574521800000004</v>
      </c>
      <c r="F488">
        <v>7.9800329999999992E-3</v>
      </c>
      <c r="G488">
        <v>-1</v>
      </c>
    </row>
    <row r="489" spans="1:7" x14ac:dyDescent="0.35">
      <c r="A489" t="s">
        <v>498</v>
      </c>
      <c r="B489" t="s">
        <v>18</v>
      </c>
      <c r="C489">
        <v>1.0732753740000001</v>
      </c>
      <c r="D489">
        <v>0.72964427700000001</v>
      </c>
      <c r="E489">
        <v>0.96809332699999995</v>
      </c>
      <c r="F489">
        <v>3.1556584307776601</v>
      </c>
      <c r="G489">
        <v>-1</v>
      </c>
    </row>
    <row r="490" spans="1:7" x14ac:dyDescent="0.35">
      <c r="A490" t="s">
        <v>499</v>
      </c>
      <c r="B490" t="s">
        <v>18</v>
      </c>
      <c r="C490">
        <v>6.9400000000000006E-5</v>
      </c>
      <c r="D490">
        <v>6.4697110000000004E-3</v>
      </c>
      <c r="E490">
        <v>0.90192950900000002</v>
      </c>
      <c r="F490">
        <v>7.5925649300357598</v>
      </c>
      <c r="G490">
        <v>-0.37445542970982632</v>
      </c>
    </row>
    <row r="491" spans="1:7" x14ac:dyDescent="0.35">
      <c r="A491" t="s">
        <v>500</v>
      </c>
      <c r="B491" t="s">
        <v>26</v>
      </c>
      <c r="C491">
        <v>0.99826015099999998</v>
      </c>
      <c r="D491">
        <v>0.64960482900000005</v>
      </c>
      <c r="E491">
        <v>0.94890533600000004</v>
      </c>
      <c r="F491">
        <v>1.6160620750171699</v>
      </c>
      <c r="G491">
        <v>-1.0000000000000031</v>
      </c>
    </row>
    <row r="492" spans="1:7" x14ac:dyDescent="0.35">
      <c r="A492" t="s">
        <v>501</v>
      </c>
      <c r="B492" t="s">
        <v>18</v>
      </c>
      <c r="C492">
        <v>2.5437126459999999</v>
      </c>
      <c r="D492">
        <v>1.1980766920000001</v>
      </c>
      <c r="E492">
        <v>0.96932228300000001</v>
      </c>
      <c r="F492">
        <v>1.52370871308726</v>
      </c>
      <c r="G492">
        <v>-1.0544328241064751</v>
      </c>
    </row>
    <row r="493" spans="1:7" x14ac:dyDescent="0.35">
      <c r="A493" t="s">
        <v>502</v>
      </c>
      <c r="B493" t="s">
        <v>18</v>
      </c>
      <c r="C493">
        <v>152254.76360000001</v>
      </c>
      <c r="D493">
        <v>329.72919680000001</v>
      </c>
      <c r="E493">
        <v>0.53715178900000005</v>
      </c>
      <c r="F493">
        <v>330.09018944634602</v>
      </c>
      <c r="G493">
        <v>-1</v>
      </c>
    </row>
    <row r="494" spans="1:7" x14ac:dyDescent="0.35">
      <c r="A494" t="s">
        <v>503</v>
      </c>
      <c r="B494" t="s">
        <v>8</v>
      </c>
      <c r="C494">
        <v>9938.035613</v>
      </c>
      <c r="D494">
        <v>67.681196560000004</v>
      </c>
      <c r="E494">
        <v>0.99390208899999999</v>
      </c>
      <c r="F494">
        <v>2.8810179999999999E-3</v>
      </c>
      <c r="G494">
        <v>-0.74395216318398538</v>
      </c>
    </row>
    <row r="495" spans="1:7" x14ac:dyDescent="0.35">
      <c r="A495" t="s">
        <v>504</v>
      </c>
      <c r="B495" t="s">
        <v>8</v>
      </c>
      <c r="C495">
        <v>1978.6902889999999</v>
      </c>
      <c r="D495">
        <v>37.72023549</v>
      </c>
      <c r="E495">
        <v>0.99162096399999999</v>
      </c>
      <c r="F495">
        <v>1.0114306E-2</v>
      </c>
      <c r="G495">
        <v>-0.60185453346271633</v>
      </c>
    </row>
    <row r="496" spans="1:7" x14ac:dyDescent="0.35">
      <c r="A496" t="s">
        <v>505</v>
      </c>
      <c r="B496" t="s">
        <v>10</v>
      </c>
      <c r="C496">
        <v>6894.5744969999996</v>
      </c>
      <c r="D496">
        <v>65.540272590000001</v>
      </c>
      <c r="E496">
        <v>0.92018365000000002</v>
      </c>
      <c r="F496">
        <v>1.5656445000000001E-2</v>
      </c>
      <c r="G496">
        <v>-1</v>
      </c>
    </row>
    <row r="497" spans="1:7" x14ac:dyDescent="0.35">
      <c r="A497" t="s">
        <v>506</v>
      </c>
      <c r="B497" t="s">
        <v>8</v>
      </c>
      <c r="C497">
        <v>1037.8852449999999</v>
      </c>
      <c r="D497">
        <v>26.385869759999999</v>
      </c>
      <c r="E497">
        <v>0.94994138699999997</v>
      </c>
      <c r="F497">
        <v>3.5138954999999999E-2</v>
      </c>
      <c r="G497">
        <v>-1</v>
      </c>
    </row>
    <row r="498" spans="1:7" x14ac:dyDescent="0.35">
      <c r="A498" t="s">
        <v>507</v>
      </c>
      <c r="B498" t="s">
        <v>10</v>
      </c>
      <c r="C498">
        <v>3262.997449</v>
      </c>
      <c r="D498">
        <v>48.91397353</v>
      </c>
      <c r="E498">
        <v>0.53492240599999996</v>
      </c>
      <c r="F498">
        <v>3.4597087999999998E-2</v>
      </c>
      <c r="G498">
        <v>-1</v>
      </c>
    </row>
    <row r="499" spans="1:7" x14ac:dyDescent="0.35">
      <c r="A499" t="s">
        <v>508</v>
      </c>
      <c r="B499" t="s">
        <v>8</v>
      </c>
      <c r="C499">
        <v>18.571780480000001</v>
      </c>
      <c r="D499">
        <v>3.0395543489999999</v>
      </c>
      <c r="E499">
        <v>0.998664671</v>
      </c>
      <c r="F499">
        <v>3.7505619999999998E-3</v>
      </c>
      <c r="G499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נועם שני</cp:lastModifiedBy>
  <dcterms:created xsi:type="dcterms:W3CDTF">2025-04-03T15:48:43Z</dcterms:created>
  <dcterms:modified xsi:type="dcterms:W3CDTF">2025-04-03T15:55:13Z</dcterms:modified>
</cp:coreProperties>
</file>